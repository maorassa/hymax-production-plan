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262" documentId="8_{B3EE0665-797F-47D7-A473-964286153950}" xr6:coauthVersionLast="47" xr6:coauthVersionMax="47" xr10:uidLastSave="{CC589CA1-1393-4A61-BB37-141FB9EAE67A}"/>
  <bookViews>
    <workbookView xWindow="-110" yWindow="-110" windowWidth="19420" windowHeight="10300" activeTab="1" xr2:uid="{51681456-E6B8-42DF-B381-24AEC35843D2}"/>
  </bookViews>
  <sheets>
    <sheet name="Dec 8 Inventory" sheetId="1" r:id="rId1"/>
    <sheet name="FG Weights" sheetId="5" r:id="rId2"/>
    <sheet name="Bill of Material" sheetId="2" r:id="rId3"/>
    <sheet name="HYMAX GRIP FG" sheetId="3" r:id="rId4"/>
    <sheet name="Plan" sheetId="4" r:id="rId5"/>
  </sheet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A49" i="5"/>
  <c r="A47" i="5"/>
  <c r="A46" i="5"/>
  <c r="A45" i="5"/>
  <c r="A43" i="5"/>
  <c r="A42" i="5"/>
  <c r="J2" i="4"/>
  <c r="F3" i="4" a="1"/>
  <c r="F3" i="4" s="1"/>
  <c r="F4" i="4" a="1"/>
  <c r="F4" i="4" s="1"/>
  <c r="F5" i="4" a="1"/>
  <c r="F5" i="4"/>
  <c r="F6" i="4" a="1"/>
  <c r="F6" i="4" s="1"/>
  <c r="F7" i="4" a="1"/>
  <c r="F7" i="4"/>
  <c r="F8" i="4" a="1"/>
  <c r="F8" i="4"/>
  <c r="F9" i="4" a="1"/>
  <c r="F9" i="4" s="1"/>
  <c r="F10" i="4" a="1"/>
  <c r="F10" i="4" s="1"/>
  <c r="F11" i="4" a="1"/>
  <c r="F11" i="4"/>
  <c r="F12" i="4" a="1"/>
  <c r="F12" i="4" s="1"/>
  <c r="F13" i="4" a="1"/>
  <c r="F13" i="4"/>
  <c r="F14" i="4" a="1"/>
  <c r="F14" i="4"/>
  <c r="F15" i="4" a="1"/>
  <c r="F15" i="4" s="1"/>
  <c r="F16" i="4" a="1"/>
  <c r="F16" i="4" s="1"/>
  <c r="F17" i="4" a="1"/>
  <c r="F17" i="4"/>
  <c r="F18" i="4" a="1"/>
  <c r="F18" i="4" s="1"/>
  <c r="F19" i="4" a="1"/>
  <c r="F19" i="4"/>
  <c r="F20" i="4" a="1"/>
  <c r="F20" i="4"/>
  <c r="F21" i="4" a="1"/>
  <c r="F21" i="4" s="1"/>
  <c r="F22" i="4" a="1"/>
  <c r="F22" i="4" s="1"/>
  <c r="F23" i="4" a="1"/>
  <c r="F23" i="4"/>
  <c r="F24" i="4" a="1"/>
  <c r="F24" i="4" s="1"/>
  <c r="F25" i="4" a="1"/>
  <c r="F25" i="4"/>
  <c r="F26" i="4" a="1"/>
  <c r="F26" i="4"/>
  <c r="F27" i="4" a="1"/>
  <c r="F27" i="4" s="1"/>
  <c r="F28" i="4" a="1"/>
  <c r="F28" i="4" s="1"/>
  <c r="F29" i="4" a="1"/>
  <c r="F29" i="4"/>
  <c r="F30" i="4" a="1"/>
  <c r="F30" i="4" s="1"/>
  <c r="F31" i="4" a="1"/>
  <c r="F31" i="4"/>
  <c r="F32" i="4" a="1"/>
  <c r="F32" i="4"/>
  <c r="F33" i="4" a="1"/>
  <c r="F33" i="4" s="1"/>
  <c r="F34" i="4" a="1"/>
  <c r="F34" i="4" s="1"/>
  <c r="F35" i="4" a="1"/>
  <c r="F35" i="4"/>
  <c r="F36" i="4" a="1"/>
  <c r="F36" i="4" s="1"/>
  <c r="F37" i="4" a="1"/>
  <c r="F37" i="4"/>
  <c r="F38" i="4" a="1"/>
  <c r="F38" i="4"/>
  <c r="F39" i="4" a="1"/>
  <c r="F39" i="4" s="1"/>
  <c r="F40" i="4" a="1"/>
  <c r="F40" i="4" s="1"/>
  <c r="F41" i="4" a="1"/>
  <c r="F41" i="4"/>
  <c r="F42" i="4" a="1"/>
  <c r="F42" i="4" s="1"/>
  <c r="F43" i="4" a="1"/>
  <c r="F43" i="4"/>
  <c r="F44" i="4" a="1"/>
  <c r="F44" i="4"/>
  <c r="F45" i="4" a="1"/>
  <c r="F45" i="4" s="1"/>
  <c r="F46" i="4" a="1"/>
  <c r="F46" i="4" s="1"/>
  <c r="F47" i="4" a="1"/>
  <c r="F47" i="4"/>
  <c r="F48" i="4" a="1"/>
  <c r="F48" i="4" s="1"/>
  <c r="F49" i="4" a="1"/>
  <c r="F49" i="4"/>
  <c r="F50" i="4" a="1"/>
  <c r="F50" i="4"/>
  <c r="F51" i="4" a="1"/>
  <c r="F51" i="4" s="1"/>
  <c r="F52" i="4" a="1"/>
  <c r="F52" i="4" s="1"/>
  <c r="F53" i="4" a="1"/>
  <c r="F53" i="4"/>
  <c r="F54" i="4" a="1"/>
  <c r="F54" i="4" s="1"/>
  <c r="F55" i="4" a="1"/>
  <c r="F55" i="4"/>
  <c r="F56" i="4" a="1"/>
  <c r="F56" i="4"/>
  <c r="F57" i="4" a="1"/>
  <c r="F57" i="4" s="1"/>
  <c r="F58" i="4" a="1"/>
  <c r="F58" i="4" s="1"/>
  <c r="F59" i="4" a="1"/>
  <c r="F59" i="4"/>
  <c r="F60" i="4" a="1"/>
  <c r="F60" i="4" s="1"/>
  <c r="F61" i="4" a="1"/>
  <c r="F61" i="4"/>
  <c r="F62" i="4" a="1"/>
  <c r="F62" i="4"/>
  <c r="F63" i="4" a="1"/>
  <c r="F63" i="4" s="1"/>
  <c r="F64" i="4" a="1"/>
  <c r="F64" i="4" s="1"/>
  <c r="F65" i="4" a="1"/>
  <c r="F65" i="4"/>
  <c r="F66" i="4" a="1"/>
  <c r="F66" i="4" s="1"/>
  <c r="F67" i="4" a="1"/>
  <c r="F67" i="4"/>
  <c r="F68" i="4" a="1"/>
  <c r="F68" i="4"/>
  <c r="F69" i="4" a="1"/>
  <c r="F69" i="4" s="1"/>
  <c r="F70" i="4" a="1"/>
  <c r="F70" i="4" s="1"/>
  <c r="F71" i="4" a="1"/>
  <c r="F71" i="4"/>
  <c r="F72" i="4" a="1"/>
  <c r="F72" i="4" s="1"/>
  <c r="F73" i="4" a="1"/>
  <c r="F73" i="4"/>
  <c r="F74" i="4" a="1"/>
  <c r="F74" i="4"/>
  <c r="F75" i="4" a="1"/>
  <c r="F75" i="4" s="1"/>
  <c r="F76" i="4" a="1"/>
  <c r="F76" i="4" s="1"/>
  <c r="F77" i="4" a="1"/>
  <c r="F77" i="4"/>
  <c r="F78" i="4" a="1"/>
  <c r="F78" i="4" s="1"/>
  <c r="F79" i="4" a="1"/>
  <c r="F79" i="4"/>
  <c r="F80" i="4" a="1"/>
  <c r="F80" i="4"/>
  <c r="F81" i="4" a="1"/>
  <c r="F81" i="4" s="1"/>
  <c r="F82" i="4" a="1"/>
  <c r="F82" i="4" s="1"/>
  <c r="F83" i="4" a="1"/>
  <c r="F83" i="4"/>
  <c r="F84" i="4" a="1"/>
  <c r="F84" i="4" s="1"/>
  <c r="F85" i="4" a="1"/>
  <c r="F85" i="4"/>
  <c r="F86" i="4" a="1"/>
  <c r="F86" i="4"/>
  <c r="F87" i="4" a="1"/>
  <c r="F87" i="4" s="1"/>
  <c r="F88" i="4" a="1"/>
  <c r="F88" i="4" s="1"/>
  <c r="F89" i="4" a="1"/>
  <c r="F89" i="4"/>
  <c r="F90" i="4" a="1"/>
  <c r="F90" i="4" s="1"/>
  <c r="F91" i="4" a="1"/>
  <c r="F91" i="4"/>
  <c r="F92" i="4" a="1"/>
  <c r="F92" i="4"/>
  <c r="F93" i="4" a="1"/>
  <c r="F93" i="4" s="1"/>
  <c r="F94" i="4" a="1"/>
  <c r="F94" i="4" s="1"/>
  <c r="F95" i="4" a="1"/>
  <c r="F95" i="4"/>
  <c r="F96" i="4" a="1"/>
  <c r="F96" i="4" s="1"/>
  <c r="F97" i="4" a="1"/>
  <c r="F97" i="4"/>
  <c r="F98" i="4" a="1"/>
  <c r="F98" i="4"/>
  <c r="F99" i="4" a="1"/>
  <c r="F99" i="4" s="1"/>
  <c r="F100" i="4" a="1"/>
  <c r="F100" i="4" s="1"/>
  <c r="F101" i="4" a="1"/>
  <c r="F101" i="4"/>
  <c r="F102" i="4" a="1"/>
  <c r="F102" i="4" s="1"/>
  <c r="F103" i="4" a="1"/>
  <c r="F103" i="4"/>
  <c r="F104" i="4" a="1"/>
  <c r="F104" i="4"/>
  <c r="F105" i="4" a="1"/>
  <c r="F105" i="4" s="1"/>
  <c r="F106" i="4" a="1"/>
  <c r="F106" i="4" s="1"/>
  <c r="F107" i="4" a="1"/>
  <c r="F107" i="4"/>
  <c r="F108" i="4" a="1"/>
  <c r="F108" i="4" s="1"/>
  <c r="F109" i="4" a="1"/>
  <c r="F109" i="4"/>
  <c r="F110" i="4" a="1"/>
  <c r="F110" i="4"/>
  <c r="F111" i="4" a="1"/>
  <c r="F111" i="4" s="1"/>
  <c r="F112" i="4" a="1"/>
  <c r="F112" i="4" s="1"/>
  <c r="F113" i="4" a="1"/>
  <c r="F113" i="4"/>
  <c r="F114" i="4" a="1"/>
  <c r="F114" i="4" s="1"/>
  <c r="F115" i="4" a="1"/>
  <c r="F115" i="4"/>
  <c r="F116" i="4" a="1"/>
  <c r="F116" i="4"/>
  <c r="F117" i="4" a="1"/>
  <c r="F117" i="4" s="1"/>
  <c r="F118" i="4" a="1"/>
  <c r="F118" i="4" s="1"/>
  <c r="F119" i="4" a="1"/>
  <c r="F119" i="4"/>
  <c r="F120" i="4" a="1"/>
  <c r="F120" i="4" s="1"/>
  <c r="F121" i="4" a="1"/>
  <c r="F121" i="4"/>
  <c r="F122" i="4" a="1"/>
  <c r="F122" i="4"/>
  <c r="F123" i="4" a="1"/>
  <c r="F123" i="4" s="1"/>
  <c r="F124" i="4" a="1"/>
  <c r="F124" i="4" s="1"/>
  <c r="F125" i="4" a="1"/>
  <c r="F125" i="4"/>
  <c r="F126" i="4" a="1"/>
  <c r="F126" i="4" s="1"/>
  <c r="F127" i="4" a="1"/>
  <c r="F127" i="4"/>
  <c r="F128" i="4" a="1"/>
  <c r="F128" i="4"/>
  <c r="F129" i="4" a="1"/>
  <c r="F129" i="4" s="1"/>
  <c r="F130" i="4" a="1"/>
  <c r="F130" i="4" s="1"/>
  <c r="F131" i="4" a="1"/>
  <c r="F131" i="4"/>
  <c r="F132" i="4" a="1"/>
  <c r="F132" i="4" s="1"/>
  <c r="F133" i="4" a="1"/>
  <c r="F133" i="4"/>
  <c r="F134" i="4" a="1"/>
  <c r="F134" i="4"/>
  <c r="F135" i="4" a="1"/>
  <c r="F135" i="4" s="1"/>
  <c r="F136" i="4" a="1"/>
  <c r="F136" i="4" s="1"/>
  <c r="F137" i="4" a="1"/>
  <c r="F137" i="4"/>
  <c r="F138" i="4" a="1"/>
  <c r="F138" i="4" s="1"/>
  <c r="F139" i="4" a="1"/>
  <c r="F139" i="4"/>
  <c r="F140" i="4" a="1"/>
  <c r="F140" i="4"/>
  <c r="F141" i="4" a="1"/>
  <c r="F141" i="4" s="1"/>
  <c r="F142" i="4" a="1"/>
  <c r="F142" i="4" s="1"/>
  <c r="F143" i="4" a="1"/>
  <c r="F143" i="4"/>
  <c r="F144" i="4" a="1"/>
  <c r="F144" i="4" s="1"/>
  <c r="F145" i="4" a="1"/>
  <c r="F145" i="4"/>
  <c r="F146" i="4" a="1"/>
  <c r="F146" i="4"/>
  <c r="F147" i="4" a="1"/>
  <c r="F147" i="4" s="1"/>
  <c r="F148" i="4" a="1"/>
  <c r="F148" i="4" s="1"/>
  <c r="F149" i="4" a="1"/>
  <c r="F149" i="4"/>
  <c r="F150" i="4" a="1"/>
  <c r="F150" i="4" s="1"/>
  <c r="F151" i="4" a="1"/>
  <c r="F151" i="4"/>
  <c r="F152" i="4" a="1"/>
  <c r="F152" i="4"/>
  <c r="F153" i="4" a="1"/>
  <c r="F153" i="4" s="1"/>
  <c r="F154" i="4" a="1"/>
  <c r="F154" i="4" s="1"/>
  <c r="F155" i="4" a="1"/>
  <c r="F155" i="4"/>
  <c r="F156" i="4" a="1"/>
  <c r="F156" i="4" s="1"/>
  <c r="F157" i="4" a="1"/>
  <c r="F157" i="4"/>
  <c r="F158" i="4" a="1"/>
  <c r="F158" i="4"/>
  <c r="F159" i="4" a="1"/>
  <c r="F159" i="4" s="1"/>
  <c r="F160" i="4" a="1"/>
  <c r="F160" i="4" s="1"/>
  <c r="F161" i="4" a="1"/>
  <c r="F161" i="4"/>
  <c r="F162" i="4" a="1"/>
  <c r="F162" i="4" s="1"/>
  <c r="F163" i="4" a="1"/>
  <c r="F163" i="4"/>
  <c r="F164" i="4" a="1"/>
  <c r="F164" i="4"/>
  <c r="F165" i="4" a="1"/>
  <c r="F165" i="4" s="1"/>
  <c r="F166" i="4" a="1"/>
  <c r="F166" i="4" s="1"/>
  <c r="F167" i="4" a="1"/>
  <c r="F167" i="4"/>
  <c r="F168" i="4" a="1"/>
  <c r="F168" i="4" s="1"/>
  <c r="F169" i="4" a="1"/>
  <c r="F169" i="4"/>
  <c r="F170" i="4" a="1"/>
  <c r="F170" i="4"/>
  <c r="F171" i="4" a="1"/>
  <c r="F171" i="4" s="1"/>
  <c r="F172" i="4" a="1"/>
  <c r="F172" i="4" s="1"/>
  <c r="F173" i="4" a="1"/>
  <c r="F173" i="4"/>
  <c r="F174" i="4" a="1"/>
  <c r="F174" i="4" s="1"/>
  <c r="F175" i="4" a="1"/>
  <c r="F175" i="4"/>
  <c r="F176" i="4" a="1"/>
  <c r="F176" i="4" s="1"/>
  <c r="F177" i="4" a="1"/>
  <c r="F177" i="4" s="1"/>
  <c r="F178" i="4" a="1"/>
  <c r="F178" i="4" s="1"/>
  <c r="F179" i="4" a="1"/>
  <c r="F179" i="4"/>
  <c r="F180" i="4" a="1"/>
  <c r="F180" i="4" s="1"/>
  <c r="F181" i="4" a="1"/>
  <c r="F181" i="4" s="1"/>
  <c r="F182" i="4" a="1"/>
  <c r="F182" i="4" s="1"/>
  <c r="F183" i="4" a="1"/>
  <c r="F183" i="4" s="1"/>
  <c r="F184" i="4" a="1"/>
  <c r="F184" i="4" s="1"/>
  <c r="F185" i="4" a="1"/>
  <c r="F185" i="4"/>
  <c r="F186" i="4" a="1"/>
  <c r="F186" i="4" s="1"/>
  <c r="F187" i="4" a="1"/>
  <c r="F187" i="4"/>
  <c r="F188" i="4" a="1"/>
  <c r="F188" i="4"/>
  <c r="F189" i="4" a="1"/>
  <c r="F189" i="4" s="1"/>
  <c r="F190" i="4" a="1"/>
  <c r="F190" i="4" s="1"/>
  <c r="F191" i="4" a="1"/>
  <c r="F191" i="4"/>
  <c r="F192" i="4" a="1"/>
  <c r="F192" i="4" s="1"/>
  <c r="F193" i="4" a="1"/>
  <c r="F193" i="4"/>
  <c r="F194" i="4" a="1"/>
  <c r="F194" i="4"/>
  <c r="F195" i="4" a="1"/>
  <c r="F195" i="4" s="1"/>
  <c r="F196" i="4" a="1"/>
  <c r="F196" i="4" s="1"/>
  <c r="F197" i="4" a="1"/>
  <c r="F197" i="4"/>
  <c r="F198" i="4" a="1"/>
  <c r="F198" i="4" s="1"/>
  <c r="F199" i="4" a="1"/>
  <c r="F199" i="4" s="1"/>
  <c r="F200" i="4" a="1"/>
  <c r="F200" i="4" s="1"/>
  <c r="F201" i="4" a="1"/>
  <c r="F201" i="4" s="1"/>
  <c r="F202" i="4" a="1"/>
  <c r="F202" i="4" s="1"/>
  <c r="F203" i="4" a="1"/>
  <c r="F203" i="4"/>
  <c r="F204" i="4" a="1"/>
  <c r="F204" i="4" s="1"/>
  <c r="F205" i="4" a="1"/>
  <c r="F205" i="4" s="1"/>
  <c r="F206" i="4" a="1"/>
  <c r="F206" i="4" s="1"/>
  <c r="F207" i="4" a="1"/>
  <c r="F207" i="4" s="1"/>
  <c r="F208" i="4" a="1"/>
  <c r="F208" i="4" s="1"/>
  <c r="F209" i="4" a="1"/>
  <c r="F209" i="4" s="1"/>
  <c r="F210" i="4" a="1"/>
  <c r="F210" i="4" s="1"/>
  <c r="F2" i="4" a="1"/>
  <c r="F2" i="4" s="1"/>
  <c r="E3" i="4"/>
  <c r="G3" i="4" s="1"/>
  <c r="E4" i="4"/>
  <c r="G4" i="4" s="1"/>
  <c r="E5" i="4"/>
  <c r="G5" i="4" s="1"/>
  <c r="E6" i="4"/>
  <c r="G6" i="4" s="1"/>
  <c r="E7" i="4"/>
  <c r="G7" i="4" s="1"/>
  <c r="E8" i="4"/>
  <c r="G8" i="4" s="1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G15" i="4" s="1"/>
  <c r="E16" i="4"/>
  <c r="G16" i="4" s="1"/>
  <c r="E17" i="4"/>
  <c r="G17" i="4" s="1"/>
  <c r="E18" i="4"/>
  <c r="G18" i="4" s="1"/>
  <c r="E19" i="4"/>
  <c r="G19" i="4" s="1"/>
  <c r="E20" i="4"/>
  <c r="G20" i="4" s="1"/>
  <c r="E21" i="4"/>
  <c r="G21" i="4" s="1"/>
  <c r="E22" i="4"/>
  <c r="G22" i="4" s="1"/>
  <c r="E23" i="4"/>
  <c r="G23" i="4" s="1"/>
  <c r="E24" i="4"/>
  <c r="G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G38" i="4" s="1"/>
  <c r="E39" i="4"/>
  <c r="G39" i="4" s="1"/>
  <c r="E40" i="4"/>
  <c r="G40" i="4" s="1"/>
  <c r="E41" i="4"/>
  <c r="G41" i="4" s="1"/>
  <c r="E42" i="4"/>
  <c r="G42" i="4" s="1"/>
  <c r="E43" i="4"/>
  <c r="G43" i="4" s="1"/>
  <c r="E44" i="4"/>
  <c r="G44" i="4" s="1"/>
  <c r="E45" i="4"/>
  <c r="G45" i="4" s="1"/>
  <c r="E46" i="4"/>
  <c r="G46" i="4" s="1"/>
  <c r="E47" i="4"/>
  <c r="G47" i="4" s="1"/>
  <c r="E48" i="4"/>
  <c r="G48" i="4" s="1"/>
  <c r="E49" i="4"/>
  <c r="G49" i="4" s="1"/>
  <c r="E50" i="4"/>
  <c r="G50" i="4" s="1"/>
  <c r="E51" i="4"/>
  <c r="G51" i="4" s="1"/>
  <c r="E52" i="4"/>
  <c r="G52" i="4" s="1"/>
  <c r="E53" i="4"/>
  <c r="G53" i="4" s="1"/>
  <c r="E54" i="4"/>
  <c r="G54" i="4" s="1"/>
  <c r="E55" i="4"/>
  <c r="G55" i="4" s="1"/>
  <c r="E56" i="4"/>
  <c r="G56" i="4" s="1"/>
  <c r="E57" i="4"/>
  <c r="G57" i="4" s="1"/>
  <c r="E58" i="4"/>
  <c r="G58" i="4" s="1"/>
  <c r="E59" i="4"/>
  <c r="G59" i="4" s="1"/>
  <c r="E60" i="4"/>
  <c r="G60" i="4" s="1"/>
  <c r="E61" i="4"/>
  <c r="G61" i="4" s="1"/>
  <c r="E62" i="4"/>
  <c r="G62" i="4" s="1"/>
  <c r="E63" i="4"/>
  <c r="G63" i="4" s="1"/>
  <c r="E64" i="4"/>
  <c r="G64" i="4" s="1"/>
  <c r="E65" i="4"/>
  <c r="G65" i="4" s="1"/>
  <c r="E66" i="4"/>
  <c r="G66" i="4" s="1"/>
  <c r="E67" i="4"/>
  <c r="G67" i="4" s="1"/>
  <c r="E68" i="4"/>
  <c r="G68" i="4" s="1"/>
  <c r="E69" i="4"/>
  <c r="G69" i="4" s="1"/>
  <c r="E70" i="4"/>
  <c r="G70" i="4" s="1"/>
  <c r="E71" i="4"/>
  <c r="G71" i="4" s="1"/>
  <c r="E72" i="4"/>
  <c r="G72" i="4" s="1"/>
  <c r="E73" i="4"/>
  <c r="G73" i="4" s="1"/>
  <c r="E74" i="4"/>
  <c r="G74" i="4" s="1"/>
  <c r="E75" i="4"/>
  <c r="G75" i="4" s="1"/>
  <c r="E76" i="4"/>
  <c r="G76" i="4" s="1"/>
  <c r="E77" i="4"/>
  <c r="G77" i="4" s="1"/>
  <c r="E78" i="4"/>
  <c r="G78" i="4" s="1"/>
  <c r="E79" i="4"/>
  <c r="G79" i="4" s="1"/>
  <c r="E80" i="4"/>
  <c r="G80" i="4" s="1"/>
  <c r="E81" i="4"/>
  <c r="G81" i="4" s="1"/>
  <c r="E82" i="4"/>
  <c r="G82" i="4" s="1"/>
  <c r="E83" i="4"/>
  <c r="G83" i="4" s="1"/>
  <c r="E84" i="4"/>
  <c r="G84" i="4" s="1"/>
  <c r="E85" i="4"/>
  <c r="G85" i="4" s="1"/>
  <c r="E86" i="4"/>
  <c r="G86" i="4" s="1"/>
  <c r="E87" i="4"/>
  <c r="G87" i="4" s="1"/>
  <c r="E88" i="4"/>
  <c r="G88" i="4" s="1"/>
  <c r="E89" i="4"/>
  <c r="G89" i="4" s="1"/>
  <c r="E90" i="4"/>
  <c r="G90" i="4" s="1"/>
  <c r="E91" i="4"/>
  <c r="G91" i="4" s="1"/>
  <c r="E92" i="4"/>
  <c r="G92" i="4" s="1"/>
  <c r="E93" i="4"/>
  <c r="G93" i="4" s="1"/>
  <c r="E94" i="4"/>
  <c r="G94" i="4" s="1"/>
  <c r="E95" i="4"/>
  <c r="G95" i="4" s="1"/>
  <c r="E96" i="4"/>
  <c r="G96" i="4" s="1"/>
  <c r="E97" i="4"/>
  <c r="G97" i="4" s="1"/>
  <c r="E98" i="4"/>
  <c r="G98" i="4" s="1"/>
  <c r="E99" i="4"/>
  <c r="G99" i="4" s="1"/>
  <c r="E100" i="4"/>
  <c r="G100" i="4" s="1"/>
  <c r="E101" i="4"/>
  <c r="G101" i="4" s="1"/>
  <c r="E102" i="4"/>
  <c r="G102" i="4" s="1"/>
  <c r="E103" i="4"/>
  <c r="G103" i="4" s="1"/>
  <c r="E104" i="4"/>
  <c r="G104" i="4" s="1"/>
  <c r="E105" i="4"/>
  <c r="G105" i="4" s="1"/>
  <c r="E106" i="4"/>
  <c r="G106" i="4" s="1"/>
  <c r="E107" i="4"/>
  <c r="G107" i="4" s="1"/>
  <c r="E108" i="4"/>
  <c r="G108" i="4" s="1"/>
  <c r="E109" i="4"/>
  <c r="G109" i="4" s="1"/>
  <c r="E110" i="4"/>
  <c r="G110" i="4" s="1"/>
  <c r="E111" i="4"/>
  <c r="G111" i="4" s="1"/>
  <c r="E112" i="4"/>
  <c r="G112" i="4" s="1"/>
  <c r="E113" i="4"/>
  <c r="G113" i="4" s="1"/>
  <c r="E114" i="4"/>
  <c r="G114" i="4" s="1"/>
  <c r="E115" i="4"/>
  <c r="G115" i="4" s="1"/>
  <c r="E116" i="4"/>
  <c r="G116" i="4" s="1"/>
  <c r="E117" i="4"/>
  <c r="G117" i="4" s="1"/>
  <c r="E118" i="4"/>
  <c r="G118" i="4" s="1"/>
  <c r="E119" i="4"/>
  <c r="G119" i="4" s="1"/>
  <c r="E120" i="4"/>
  <c r="G120" i="4" s="1"/>
  <c r="E121" i="4"/>
  <c r="G121" i="4" s="1"/>
  <c r="E122" i="4"/>
  <c r="G122" i="4" s="1"/>
  <c r="E123" i="4"/>
  <c r="G123" i="4" s="1"/>
  <c r="E124" i="4"/>
  <c r="G124" i="4" s="1"/>
  <c r="E125" i="4"/>
  <c r="G125" i="4" s="1"/>
  <c r="E126" i="4"/>
  <c r="G126" i="4" s="1"/>
  <c r="E127" i="4"/>
  <c r="G127" i="4" s="1"/>
  <c r="E128" i="4"/>
  <c r="G128" i="4" s="1"/>
  <c r="E129" i="4"/>
  <c r="G129" i="4" s="1"/>
  <c r="E130" i="4"/>
  <c r="G130" i="4" s="1"/>
  <c r="E131" i="4"/>
  <c r="G131" i="4" s="1"/>
  <c r="E132" i="4"/>
  <c r="G132" i="4" s="1"/>
  <c r="E133" i="4"/>
  <c r="G133" i="4" s="1"/>
  <c r="E134" i="4"/>
  <c r="G134" i="4" s="1"/>
  <c r="E135" i="4"/>
  <c r="G135" i="4" s="1"/>
  <c r="E136" i="4"/>
  <c r="G136" i="4" s="1"/>
  <c r="E137" i="4"/>
  <c r="G137" i="4" s="1"/>
  <c r="E138" i="4"/>
  <c r="G138" i="4" s="1"/>
  <c r="E139" i="4"/>
  <c r="G139" i="4" s="1"/>
  <c r="E140" i="4"/>
  <c r="G140" i="4" s="1"/>
  <c r="E141" i="4"/>
  <c r="G141" i="4" s="1"/>
  <c r="E142" i="4"/>
  <c r="G142" i="4" s="1"/>
  <c r="E143" i="4"/>
  <c r="G143" i="4" s="1"/>
  <c r="E144" i="4"/>
  <c r="G144" i="4" s="1"/>
  <c r="E145" i="4"/>
  <c r="G145" i="4" s="1"/>
  <c r="E146" i="4"/>
  <c r="G146" i="4" s="1"/>
  <c r="E147" i="4"/>
  <c r="G147" i="4" s="1"/>
  <c r="E148" i="4"/>
  <c r="G148" i="4" s="1"/>
  <c r="E149" i="4"/>
  <c r="G149" i="4" s="1"/>
  <c r="E150" i="4"/>
  <c r="G150" i="4" s="1"/>
  <c r="E151" i="4"/>
  <c r="G151" i="4" s="1"/>
  <c r="E152" i="4"/>
  <c r="G152" i="4" s="1"/>
  <c r="E153" i="4"/>
  <c r="G153" i="4" s="1"/>
  <c r="E154" i="4"/>
  <c r="G154" i="4" s="1"/>
  <c r="E155" i="4"/>
  <c r="G155" i="4" s="1"/>
  <c r="E156" i="4"/>
  <c r="G156" i="4" s="1"/>
  <c r="E157" i="4"/>
  <c r="G157" i="4" s="1"/>
  <c r="E158" i="4"/>
  <c r="G158" i="4" s="1"/>
  <c r="E159" i="4"/>
  <c r="G159" i="4" s="1"/>
  <c r="E160" i="4"/>
  <c r="G160" i="4" s="1"/>
  <c r="E161" i="4"/>
  <c r="G161" i="4" s="1"/>
  <c r="E162" i="4"/>
  <c r="G162" i="4" s="1"/>
  <c r="E163" i="4"/>
  <c r="G163" i="4" s="1"/>
  <c r="E164" i="4"/>
  <c r="G164" i="4" s="1"/>
  <c r="E165" i="4"/>
  <c r="G165" i="4" s="1"/>
  <c r="E166" i="4"/>
  <c r="G166" i="4" s="1"/>
  <c r="E167" i="4"/>
  <c r="G167" i="4" s="1"/>
  <c r="E168" i="4"/>
  <c r="G168" i="4" s="1"/>
  <c r="E169" i="4"/>
  <c r="G169" i="4" s="1"/>
  <c r="E170" i="4"/>
  <c r="G170" i="4" s="1"/>
  <c r="E171" i="4"/>
  <c r="G171" i="4" s="1"/>
  <c r="E172" i="4"/>
  <c r="G172" i="4" s="1"/>
  <c r="E173" i="4"/>
  <c r="G173" i="4" s="1"/>
  <c r="E174" i="4"/>
  <c r="G174" i="4" s="1"/>
  <c r="E175" i="4"/>
  <c r="G175" i="4" s="1"/>
  <c r="E176" i="4"/>
  <c r="G176" i="4" s="1"/>
  <c r="E177" i="4"/>
  <c r="G177" i="4" s="1"/>
  <c r="E178" i="4"/>
  <c r="G178" i="4" s="1"/>
  <c r="E179" i="4"/>
  <c r="G179" i="4" s="1"/>
  <c r="E180" i="4"/>
  <c r="G180" i="4" s="1"/>
  <c r="E181" i="4"/>
  <c r="G181" i="4" s="1"/>
  <c r="E182" i="4"/>
  <c r="G182" i="4" s="1"/>
  <c r="E183" i="4"/>
  <c r="G183" i="4" s="1"/>
  <c r="E184" i="4"/>
  <c r="G184" i="4" s="1"/>
  <c r="E185" i="4"/>
  <c r="G185" i="4" s="1"/>
  <c r="E186" i="4"/>
  <c r="G186" i="4" s="1"/>
  <c r="E187" i="4"/>
  <c r="G187" i="4" s="1"/>
  <c r="E188" i="4"/>
  <c r="G188" i="4" s="1"/>
  <c r="E189" i="4"/>
  <c r="G189" i="4" s="1"/>
  <c r="E190" i="4"/>
  <c r="G190" i="4" s="1"/>
  <c r="E191" i="4"/>
  <c r="G191" i="4" s="1"/>
  <c r="E192" i="4"/>
  <c r="G192" i="4" s="1"/>
  <c r="E193" i="4"/>
  <c r="G193" i="4" s="1"/>
  <c r="E194" i="4"/>
  <c r="G194" i="4" s="1"/>
  <c r="E195" i="4"/>
  <c r="G195" i="4" s="1"/>
  <c r="E196" i="4"/>
  <c r="G196" i="4" s="1"/>
  <c r="E197" i="4"/>
  <c r="G197" i="4" s="1"/>
  <c r="E198" i="4"/>
  <c r="G198" i="4" s="1"/>
  <c r="E199" i="4"/>
  <c r="G199" i="4" s="1"/>
  <c r="E200" i="4"/>
  <c r="G200" i="4" s="1"/>
  <c r="E201" i="4"/>
  <c r="G201" i="4" s="1"/>
  <c r="E202" i="4"/>
  <c r="G202" i="4" s="1"/>
  <c r="E203" i="4"/>
  <c r="G203" i="4" s="1"/>
  <c r="E204" i="4"/>
  <c r="G204" i="4" s="1"/>
  <c r="E205" i="4"/>
  <c r="G205" i="4" s="1"/>
  <c r="E206" i="4"/>
  <c r="G206" i="4" s="1"/>
  <c r="E207" i="4"/>
  <c r="G207" i="4" s="1"/>
  <c r="E208" i="4"/>
  <c r="G208" i="4" s="1"/>
  <c r="E209" i="4"/>
  <c r="G209" i="4" s="1"/>
  <c r="E210" i="4"/>
  <c r="G210" i="4" s="1"/>
  <c r="E2" i="4"/>
  <c r="G2" i="4" s="1"/>
  <c r="D2" i="4" a="1"/>
  <c r="D2" i="4" s="1"/>
  <c r="A2" i="4" a="1"/>
  <c r="A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<sst xmlns="http://schemas.openxmlformats.org/spreadsheetml/2006/main" count="7604" uniqueCount="936">
  <si>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</si>
  <si>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</si>
  <si>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</si>
  <si>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</si>
  <si>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</si>
  <si>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</si>
  <si>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</si>
  <si>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</si>
  <si>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טובים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</si>
  <si>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</si>
  <si>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</si>
  <si>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</si>
  <si>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</si>
  <si>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</si>
  <si>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</si>
  <si>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</si>
  <si>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</si>
  <si>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</si>
  <si>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</si>
  <si>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</si>
  <si>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</si>
  <si>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</si>
  <si>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</si>
  <si>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</si>
  <si>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</si>
  <si>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</si>
  <si>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</si>
  <si>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</si>
  <si>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</si>
  <si>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</si>
  <si>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‎ידית‎ ‎עם‎ (59-87) 2.5" ‎ג‎.‎ק‎.‎ר‎ ‎גוף</t>
  </si>
  <si>
    <t>Reject</t>
  </si>
  <si>
    <t>260-06-030080</t>
  </si>
  <si>
    <t>‎ידית‎ ‎עם‎ 2 ‎דור‎ D.I ‎יציקה‎(80-106)3" ‎ג‎.‎ק‎.‎ר‎ ‎גוף</t>
  </si>
  <si>
    <t>272680003</t>
  </si>
  <si>
    <t>‎(‎קרטון‎) PB-1 ‎מחירים‎ ‎לאקדח‎ ‎מדבקות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</si>
  <si>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</si>
  <si>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</si>
  <si>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</si>
  <si>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</si>
  <si>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</si>
  <si>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</si>
  <si>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</si>
  <si>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</si>
  <si>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</si>
  <si>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‎6"(158-190)-4"(104-130) ‎מעבר‎ ‎ג‎.‎ק‎.‎ר‎ ‎גוף</t>
  </si>
  <si>
    <t>280-00-06158-05130</t>
  </si>
  <si>
    <t>‎6"(158-190)-5"(130-162) ‎מעבר‎ ‎ג‎.‎ק‎.‎ר‎ ‎גוף</t>
  </si>
  <si>
    <t>280-00-07198-05130</t>
  </si>
  <si>
    <t>‎7"(198-230)-5"(130-162) ‎מעבר‎ ‎ג‎.‎ק‎.‎ר‎ ‎גוף</t>
  </si>
  <si>
    <t>280-00-07198-06158</t>
  </si>
  <si>
    <t>‎7"(198-230)-6"(158-190) ‎מעבר‎ ‎ג‎.‎ק‎.‎ר‎ ‎גוף</t>
  </si>
  <si>
    <t>280-00-08214-06158</t>
  </si>
  <si>
    <t>‎8"(214-264)-6"(158-190) ‎מעבר‎ ‎ג‎.‎ק‎.‎ר‎ ‎גוף</t>
  </si>
  <si>
    <t>280-00-08214-07190</t>
  </si>
  <si>
    <t>‎8"(214-264)-7"(190-240) ‎מעבר‎ ‎ג‎.‎ק‎.‎ר‎ ‎גוף</t>
  </si>
  <si>
    <t>280-00-10266-08214</t>
  </si>
  <si>
    <t>‎10"(266-316)-8"(214-264) ‎מעבר‎ ‎ג‎.‎ק‎.‎ר‎ ‎גוף</t>
  </si>
  <si>
    <t>280-00-12312-10266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</si>
  <si>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</si>
  <si>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</si>
  <si>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</si>
  <si>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</si>
  <si>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</si>
  <si>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</si>
  <si>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</si>
  <si>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300027-110-080</t>
  </si>
  <si>
    <t>‎110X80 ‎לבן‎ ‎פוליפרופילן‎ ‎תג</t>
  </si>
  <si>
    <t>302037-3</t>
  </si>
  <si>
    <t>‎אקריל‎ ‎לבן‎ ‎רקע‎ 100X64 P.P ‎מדבקת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</si>
  <si>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</si>
  <si>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</si>
  <si>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</si>
  <si>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</si>
  <si>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</si>
  <si>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‎2 ‎דור‎ (130-162)5" ‎מאוגן‎ ‎ג‎.‎ק‎.‎ר‎ ‎גוף</t>
  </si>
  <si>
    <t>340-05-05130-16</t>
  </si>
  <si>
    <t>‎PN10/16 ‎אוגן‎ (130-162)5" ‎מאוגן‎ ‎ג‎.‎ק‎.‎ר‎ ‎גוף</t>
  </si>
  <si>
    <t>340-05-06158</t>
  </si>
  <si>
    <t>‎2 ‎דור‎ (158-190)6" ‎מאוגן‎ ‎ג‎.‎ק‎.‎ר‎ ‎גוף</t>
  </si>
  <si>
    <t>340-05-08190</t>
  </si>
  <si>
    <t>‎8" ‎אוגן‎ 50 ‎טווח‎(190-240)7"‎מאוגן‎.‎ג‎.‎ק‎.‎ר‎ ‎גוף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</si>
  <si>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</si>
  <si>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</si>
  <si>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</si>
  <si>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</si>
  <si>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</si>
  <si>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</si>
  <si>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</si>
  <si>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‎50 ‎טווח‎(312-362)12" ‎מאוגן‎.‎ג‎.‎ק‎.‎ר‎ ‎גוף</t>
  </si>
  <si>
    <t>340-07-025059-25</t>
  </si>
  <si>
    <t>‎PN10/16 ‎אוגן‎(59-87) 2.5" .‎מ‎.‎ג‎.‎ק‎.‎ר‎ ‎גוף</t>
  </si>
  <si>
    <t>340-08-015039-15</t>
  </si>
  <si>
    <t>‎1.5/2" ‎אוניברסלי‎ ‎עגול‎ ‎אוגן‎(39-67)1.5/2".‎מ‎.‎ג‎.‎ק‎.‎ר‎ ‎גוף</t>
  </si>
  <si>
    <t>350-05-015039G2</t>
  </si>
  <si>
    <t>‎G2 ‎יציאה‎ (39-67)1.5" ‎קו‎ ‎סוף‎ ‎ג‎.‎ק‎.‎ר‎ ‎גוף</t>
  </si>
  <si>
    <t>350-05-025059G2</t>
  </si>
  <si>
    <t>‎G2  ‎יציאה‎ (59-87)2.5" ‎קו‎ ‎סוף‎ ‎ג‎.‎ק‎.‎ר‎ ‎גוף</t>
  </si>
  <si>
    <t>350-05-03080G2</t>
  </si>
  <si>
    <t>‎2xG2 (80-106)3" ‎קו‎ ‎סוף‎ ‎ג‎.‎ק‎.‎ר‎ ‎גוף</t>
  </si>
  <si>
    <t>350-05-04104G2</t>
  </si>
  <si>
    <t>‎2 ‎דור‎ 2xG2 (104-130)4" ‎קו‎ ‎סוף‎ ‎ג‎.‎ק‎.‎ר‎ ‎גוף</t>
  </si>
  <si>
    <t>350-05-05130G2</t>
  </si>
  <si>
    <t>‎2 ‎דור‎ 2xG2 (130-162)5" ‎קו‎ ‎סוף‎ ‎ג‎.‎ק‎.‎ר‎ ‎גוף</t>
  </si>
  <si>
    <t>350-05-06158G2</t>
  </si>
  <si>
    <t>‎2 ‎דור‎ 2xG2 (158-190)6" ‎קו‎ ‎סוף‎ ‎ג‎.‎ק‎.‎ר‎ ‎גוף</t>
  </si>
  <si>
    <t>350-05-07190G2</t>
  </si>
  <si>
    <t>‎50 ‎טווח‎ 2xG2 (190-240)7" ‎קו‎ ‎סוף‎ ‎ג‎.‎ק‎.‎ר‎ ‎גוף</t>
  </si>
  <si>
    <t>350-05-07198G2</t>
  </si>
  <si>
    <t>‎32 ‎טווח‎ 2xG2 (198-230)7" ‎קו‎ ‎סוף‎ ‎ג‎.‎ק‎.‎ר‎ ‎גוף</t>
  </si>
  <si>
    <t>350-05-08214G2</t>
  </si>
  <si>
    <t>‎50 ‎טווח‎ 2 ‎דור‎ 2xG2 (214-264)8" ‎קו‎ ‎סוף‎ ‎ג‎.‎ק‎.‎ר‎ ‎גוף</t>
  </si>
  <si>
    <t>350-05-10266G2</t>
  </si>
  <si>
    <t>‎50 ‎טווח‎ (266-316)10" ‎קו‎ ‎סוף‎ ‎ג‎.‎ק‎.‎ר‎ ‎גוף</t>
  </si>
  <si>
    <t>350-05-12312G2</t>
  </si>
  <si>
    <t>‎50 ‎טווח‎ (312-362)12" ‎קו‎ ‎סוף‎ ‎ג‎.‎ק‎.‎ר‎ ‎גוף</t>
  </si>
  <si>
    <t>355-05-04111</t>
  </si>
  <si>
    <t>‎4" ‎גריפ‎ ‎זווית‎ ‎רב‎ ‎גוף</t>
  </si>
  <si>
    <t>355-05-06165</t>
  </si>
  <si>
    <t>‎6" ‎גריפ‎ ‎זווית‎ ‎רב‎ ‎גוף</t>
  </si>
  <si>
    <t>355-05-12322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</si>
  <si>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</si>
  <si>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</si>
  <si>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</si>
  <si>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</si>
  <si>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</si>
  <si>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370-00-06165</t>
  </si>
  <si>
    <t>‎SS304 (165-183)6" ‎ג‎.‎ק‎.‎ר‎ ‎גומי‎ ‎חיזוק‎ ‎גשר</t>
  </si>
  <si>
    <t>370-00-12322</t>
  </si>
  <si>
    <t>‎SS304 (322-340)12" ‎ג‎.‎ק‎.‎ר‎ ‎גומי‎ ‎חיזוק‎ ‎גשר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</si>
  <si>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</si>
  <si>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</si>
  <si>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</si>
  <si>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</si>
  <si>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</si>
  <si>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</si>
  <si>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</si>
  <si>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</si>
  <si>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</si>
  <si>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</si>
  <si>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</si>
  <si>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</si>
  <si>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</si>
  <si>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</si>
  <si>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</si>
  <si>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</si>
  <si>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</si>
  <si>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</si>
  <si>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</si>
  <si>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</si>
  <si>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</si>
  <si>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</si>
  <si>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</si>
  <si>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‎SS304 6" ‎זוויתי‎ ‎רב‎ ‎אטם‎ ‎גשר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</si>
  <si>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</si>
  <si>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</si>
  <si>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</si>
  <si>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</si>
  <si>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</si>
  <si>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</si>
  <si>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</si>
  <si>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</si>
  <si>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</si>
  <si>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</si>
  <si>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</si>
  <si>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</si>
  <si>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</si>
  <si>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</si>
  <si>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</si>
  <si>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</si>
  <si>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</si>
  <si>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</si>
  <si>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</si>
  <si>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‎USA A ‎חלק‎ DI (111-129)4" ‎ג‎.‎ק‎.‎ר‎.‎נ‎.‎א‎ ‎חצי</t>
  </si>
  <si>
    <t>526-10-04111-RGBT</t>
  </si>
  <si>
    <t>‎USA B ‎חלק‎ DI (111-129)4" ‎ג‎.‎ק‎.‎ר‎.‎נ‎.‎א‎ ‎חצי</t>
  </si>
  <si>
    <t>526-10-05130GAT</t>
  </si>
  <si>
    <t>‎EUR A ‎חלק‎ DI (130-162)5" ‎ג‎.‎ק‎.‎ר‎.‎נ‎.‎א‎ ‎חצי</t>
  </si>
  <si>
    <t>526-10-05130GBT</t>
  </si>
  <si>
    <t>‎EUR B ‎חלק‎ DI (130-162)5" ‎ג‎.‎ק‎.‎ר‎.‎נ‎.‎א‎ ‎חצי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</si>
  <si>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</si>
  <si>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</si>
  <si>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</si>
  <si>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</si>
  <si>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</si>
  <si>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‎USA A ‎חלק‎ DI (165-183)6" ‎ג‎.‎ק‎.‎ר‎.‎נ‎.‎א‎ ‎חצי</t>
  </si>
  <si>
    <t>526-10-06165-RGBT</t>
  </si>
  <si>
    <t>‎USA B ‎חלק‎ DI (165-183)6" ‎ג‎.‎ק‎.‎ר‎.‎נ‎.‎א‎ ‎חצי</t>
  </si>
  <si>
    <t>526-10-07190GAT</t>
  </si>
  <si>
    <t>‎EUR 50 ‎טווח‎ A ‎חלק‎ DI (190-240)7" ‎ג‎.‎ק‎.‎ר‎.‎נ‎.‎א‎ ‎חצי</t>
  </si>
  <si>
    <t>526-10-07190GBT</t>
  </si>
  <si>
    <t>‎EUR 50 ‎טווח‎ B ‎חלק‎ DI (190-240)7" ‎ג‎.‎ק‎.‎ר‎.‎נ‎.‎א‎ ‎חצי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</si>
  <si>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</si>
  <si>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</si>
  <si>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</si>
  <si>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</si>
  <si>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</si>
  <si>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</si>
  <si>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</si>
  <si>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</si>
  <si>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</si>
  <si>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</si>
  <si>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</si>
  <si>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</si>
  <si>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</si>
  <si>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</si>
  <si>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</si>
  <si>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</si>
  <si>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</si>
  <si>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</si>
  <si>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</si>
  <si>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</si>
  <si>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</si>
  <si>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</si>
  <si>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</si>
  <si>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</si>
  <si>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</si>
  <si>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</si>
  <si>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</si>
  <si>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</si>
  <si>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</si>
  <si>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</si>
  <si>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</si>
  <si>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</si>
  <si>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</si>
  <si>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</si>
  <si>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</si>
  <si>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</si>
  <si>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</si>
  <si>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</si>
  <si>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</si>
  <si>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</si>
  <si>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</si>
  <si>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</si>
  <si>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</si>
  <si>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</si>
  <si>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</si>
  <si>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</si>
  <si>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</si>
  <si>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</si>
  <si>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</si>
  <si>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</si>
  <si>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</si>
  <si>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</si>
  <si>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</si>
  <si>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</si>
  <si>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</si>
  <si>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</si>
  <si>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</si>
  <si>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</si>
  <si>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</si>
  <si>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</si>
  <si>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</si>
  <si>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</si>
  <si>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</si>
  <si>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</si>
  <si>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</si>
  <si>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</si>
  <si>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</si>
  <si>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</si>
  <si>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</si>
  <si>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</si>
  <si>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</si>
  <si>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</si>
  <si>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</si>
  <si>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</si>
  <si>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</si>
  <si>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</si>
  <si>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</si>
  <si>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</si>
  <si>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</si>
  <si>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</si>
  <si>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</si>
  <si>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</si>
  <si>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</si>
  <si>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</si>
  <si>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</si>
  <si>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</si>
  <si>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</si>
  <si>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</si>
  <si>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</si>
  <si>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</si>
  <si>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</si>
  <si>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</si>
  <si>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</si>
  <si>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</si>
  <si>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</si>
  <si>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</si>
  <si>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</si>
  <si>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</si>
  <si>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</si>
  <si>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</si>
  <si>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</si>
  <si>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</si>
  <si>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</si>
  <si>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</si>
  <si>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</si>
  <si>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</si>
  <si>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</si>
  <si>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</si>
  <si>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</si>
  <si>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</si>
  <si>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</si>
  <si>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</si>
  <si>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</si>
  <si>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</si>
  <si>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</si>
  <si>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</si>
  <si>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</si>
  <si>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</si>
  <si>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</si>
  <si>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</si>
  <si>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</si>
  <si>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</si>
  <si>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</si>
  <si>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</si>
  <si>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</si>
  <si>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</si>
  <si>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</si>
  <si>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</si>
  <si>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</si>
  <si>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</si>
  <si>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</si>
  <si>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</si>
  <si>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</si>
  <si>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</si>
  <si>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</si>
  <si>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</si>
  <si>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</si>
  <si>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</si>
  <si>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</si>
  <si>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</si>
  <si>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</si>
  <si>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</si>
  <si>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</si>
  <si>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</si>
  <si>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</si>
  <si>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</si>
  <si>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</si>
  <si>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</si>
  <si>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</si>
  <si>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</si>
  <si>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</si>
  <si>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</si>
  <si>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</si>
  <si>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</si>
  <si>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</si>
  <si>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</si>
  <si>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</si>
  <si>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</si>
  <si>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</si>
  <si>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</si>
  <si>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</si>
  <si>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</si>
  <si>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</si>
  <si>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</si>
  <si>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</si>
  <si>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</si>
  <si>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</si>
  <si>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</si>
  <si>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</si>
  <si>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</si>
  <si>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</si>
  <si>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</si>
  <si>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</si>
  <si>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</si>
  <si>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</si>
  <si>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</si>
  <si>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</si>
  <si>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</si>
  <si>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</si>
  <si>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</si>
  <si>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</si>
  <si>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</si>
  <si>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</si>
  <si>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</si>
  <si>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</si>
  <si>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</si>
  <si>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</si>
  <si>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</si>
  <si>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</si>
  <si>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</si>
  <si>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</si>
  <si>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</si>
  <si>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</si>
  <si>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</si>
  <si>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</si>
  <si>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</si>
  <si>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</si>
  <si>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</si>
  <si>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</si>
  <si>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</si>
  <si>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</si>
  <si>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</si>
  <si>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</si>
  <si>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</si>
  <si>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</si>
  <si>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</si>
  <si>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</si>
  <si>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</si>
  <si>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</si>
  <si>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</si>
  <si>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</si>
  <si>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</si>
  <si>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</si>
  <si>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</si>
  <si>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</si>
  <si>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</si>
  <si>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</si>
  <si>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</si>
  <si>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</si>
  <si>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</si>
  <si>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</si>
  <si>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</si>
  <si>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</si>
  <si>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</si>
  <si>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</si>
  <si>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</si>
  <si>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</si>
  <si>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</si>
  <si>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</si>
  <si>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</si>
  <si>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</si>
  <si>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</si>
  <si>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</si>
  <si>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</si>
  <si>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</si>
  <si>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</si>
  <si>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</si>
  <si>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</si>
  <si>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</si>
  <si>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</si>
  <si>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</si>
  <si>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</si>
  <si>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</si>
  <si>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</si>
  <si>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</si>
  <si>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</si>
  <si>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</si>
  <si>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</si>
  <si>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</si>
  <si>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</si>
  <si>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</si>
  <si>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</si>
  <si>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</si>
  <si>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</si>
  <si>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</si>
  <si>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</si>
  <si>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</si>
  <si>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</si>
  <si>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</si>
  <si>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</si>
  <si>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</si>
  <si>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</si>
  <si>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</si>
  <si>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</si>
  <si>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</si>
  <si>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</si>
  <si>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</si>
  <si>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</si>
  <si>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</si>
  <si>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</si>
  <si>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</si>
  <si>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</si>
  <si>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</si>
  <si>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</si>
  <si>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</si>
  <si>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</si>
  <si>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</si>
  <si>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</si>
  <si>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</si>
  <si>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</si>
  <si>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</si>
  <si>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</si>
  <si>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</si>
  <si>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</si>
  <si>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</si>
  <si>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</si>
  <si>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</si>
  <si>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</si>
  <si>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</si>
  <si>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</si>
  <si>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</si>
  <si>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</si>
  <si>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</si>
  <si>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</si>
  <si>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</si>
  <si>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</si>
  <si>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</si>
  <si>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</si>
  <si>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</si>
  <si>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</si>
  <si>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</si>
  <si>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</si>
  <si>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</si>
  <si>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</si>
  <si>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</si>
  <si>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</si>
  <si>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</si>
  <si>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</si>
  <si>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</si>
  <si>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</si>
  <si>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</si>
  <si>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</si>
  <si>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</si>
  <si>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</si>
  <si>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</si>
  <si>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</si>
  <si>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</si>
  <si>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</si>
  <si>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CT22</t>
  </si>
  <si>
    <t>260-00-060163</t>
  </si>
  <si>
    <t>‎(163-195) 6+" ‎ק‎.‎ר‎ ‎גוף</t>
  </si>
  <si>
    <t>G01</t>
  </si>
  <si>
    <t>Z003</t>
  </si>
  <si>
    <t>B112</t>
  </si>
  <si>
    <t>370-00-04111</t>
  </si>
  <si>
    <t>‎SS304 (111-129)4" ‎ג‎.‎ק‎.‎ר‎ ‎גומי‎ ‎חיזוק‎ ‎גשר</t>
  </si>
  <si>
    <t>Z006</t>
  </si>
  <si>
    <t>370-00-12312362</t>
  </si>
  <si>
    <t>‎SS304 50 ‎טווח‎ (312-362)12" ‎ג‎.‎ק‎.‎ר‎ ‎גומי‎ ‎חיזוק‎ ‎גשר</t>
  </si>
  <si>
    <t>371-00-04111</t>
  </si>
  <si>
    <t>‎SS304 4" ‎זוויתי‎ ‎רב‎ ‎אטם‎ ‎גשר</t>
  </si>
  <si>
    <t>Z002</t>
  </si>
  <si>
    <t>Z015</t>
  </si>
  <si>
    <t>Z014</t>
  </si>
  <si>
    <t>Z001</t>
  </si>
  <si>
    <t>Chain Gr</t>
  </si>
  <si>
    <t>828-25-040111</t>
  </si>
  <si>
    <t>‎4" (111-129) ‎מונובלוק‎ ‎גריפ‎ ‎שרשרת</t>
  </si>
  <si>
    <t>A141</t>
  </si>
  <si>
    <t>Z007</t>
  </si>
  <si>
    <t>B113</t>
  </si>
  <si>
    <t>986-490-490-170</t>
  </si>
  <si>
    <t>‎דבק‎ ‎עם‎ 12"F 490X490X170 186 ‎דבל‎ ‎קרטון‎.‎א</t>
  </si>
  <si>
    <t>996-280-240-090</t>
  </si>
  <si>
    <t>‎דבק‎ ‎עם‎ 4KIT 280X240X090 376 ‎דבל‎ ‎קרטון‎.‎א</t>
  </si>
  <si>
    <t>Z025</t>
  </si>
  <si>
    <t>Z024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</si>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</sst>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"/>
    <numFmt numFmtId="166" formatCode="_(* #,##0_);_(* \(#,##0\);_(* &quot;-&quot;??_);_(@_)"/>
  </numFmts>
  <fonts count="6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ashed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0" xfId="1"/>
    <xf numFmtId="0" fontId="1" fillId="0" borderId="2" xfId="1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3" borderId="0" xfId="0" applyFill="1" applyAlignment="1">
      <alignment horizontal="center"/>
    </xf>
    <xf numFmtId="166" fontId="0" fillId="3" borderId="0" xfId="2" applyNumberFormat="1" applyFont="1" applyFill="1"/>
    <xf numFmtId="0" fontId="2" fillId="3" borderId="4" xfId="0" applyFont="1" applyFill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66" fontId="0" fillId="3" borderId="4" xfId="2" applyNumberFormat="1" applyFont="1" applyFill="1" applyBorder="1"/>
    <xf numFmtId="0" fontId="0" fillId="3" borderId="4" xfId="0" applyFill="1" applyBorder="1"/>
    <xf numFmtId="2" fontId="1" fillId="3" borderId="4" xfId="0" applyNumberFormat="1" applyFont="1" applyFill="1" applyBorder="1" applyAlignment="1">
      <alignment horizontal="center"/>
    </xf>
    <xf numFmtId="0" fontId="1" fillId="0" borderId="5" xfId="1" applyBorder="1"/>
    <xf numFmtId="0" fontId="0" fillId="0" borderId="6" xfId="0" applyBorder="1"/>
    <xf numFmtId="1" fontId="0" fillId="0" borderId="7" xfId="0" applyNumberFormat="1" applyBorder="1"/>
    <xf numFmtId="164" fontId="0" fillId="0" borderId="7" xfId="0" applyNumberFormat="1" applyBorder="1"/>
    <xf numFmtId="165" fontId="0" fillId="0" borderId="7" xfId="0" applyNumberFormat="1" applyBorder="1"/>
    <xf numFmtId="0" fontId="0" fillId="0" borderId="7" xfId="0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" fontId="0" fillId="0" borderId="12" xfId="0" applyNumberFormat="1" applyBorder="1"/>
    <xf numFmtId="0" fontId="0" fillId="0" borderId="13" xfId="0" applyBorder="1"/>
    <xf numFmtId="0" fontId="1" fillId="0" borderId="5" xfId="0" applyFont="1" applyBorder="1"/>
    <xf numFmtId="0" fontId="1" fillId="3" borderId="5" xfId="0" applyFont="1" applyFill="1" applyBorder="1"/>
    <xf numFmtId="0" fontId="0" fillId="3" borderId="5" xfId="0" applyFill="1" applyBorder="1"/>
    <xf numFmtId="0" fontId="0" fillId="3" borderId="14" xfId="0" applyFill="1" applyBorder="1"/>
    <xf numFmtId="1" fontId="1" fillId="0" borderId="15" xfId="1" applyNumberFormat="1" applyBorder="1"/>
    <xf numFmtId="1" fontId="0" fillId="0" borderId="15" xfId="0" applyNumberFormat="1" applyBorder="1"/>
    <xf numFmtId="1" fontId="0" fillId="0" borderId="16" xfId="0" applyNumberFormat="1" applyBorder="1"/>
    <xf numFmtId="0" fontId="2" fillId="0" borderId="17" xfId="1" applyFont="1" applyBorder="1"/>
    <xf numFmtId="0" fontId="2" fillId="0" borderId="18" xfId="1" applyFont="1" applyBorder="1"/>
    <xf numFmtId="0" fontId="2" fillId="0" borderId="19" xfId="1" applyFont="1" applyBorder="1"/>
    <xf numFmtId="0" fontId="2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166" fontId="0" fillId="3" borderId="21" xfId="2" applyNumberFormat="1" applyFont="1" applyFill="1" applyBorder="1"/>
    <xf numFmtId="0" fontId="3" fillId="4" borderId="22" xfId="0" applyFont="1" applyFill="1" applyBorder="1" applyAlignment="1">
      <alignment horizontal="center"/>
    </xf>
    <xf numFmtId="0" fontId="3" fillId="4" borderId="23" xfId="0" applyFont="1" applyFill="1" applyBorder="1"/>
    <xf numFmtId="0" fontId="3" fillId="4" borderId="23" xfId="0" applyFont="1" applyFill="1" applyBorder="1" applyAlignment="1">
      <alignment horizontal="center"/>
    </xf>
    <xf numFmtId="166" fontId="2" fillId="5" borderId="23" xfId="2" applyNumberFormat="1" applyFont="1" applyFill="1" applyBorder="1"/>
    <xf numFmtId="166" fontId="2" fillId="5" borderId="24" xfId="2" applyNumberFormat="1" applyFont="1" applyFill="1" applyBorder="1"/>
    <xf numFmtId="0" fontId="0" fillId="3" borderId="25" xfId="0" applyFill="1" applyBorder="1" applyAlignment="1">
      <alignment horizontal="center"/>
    </xf>
    <xf numFmtId="0" fontId="2" fillId="3" borderId="26" xfId="0" applyFont="1" applyFill="1" applyBorder="1"/>
    <xf numFmtId="0" fontId="0" fillId="3" borderId="26" xfId="0" applyFill="1" applyBorder="1"/>
    <xf numFmtId="0" fontId="1" fillId="3" borderId="26" xfId="0" applyFont="1" applyFill="1" applyBorder="1"/>
    <xf numFmtId="0" fontId="1" fillId="3" borderId="26" xfId="0" applyFont="1" applyFill="1" applyBorder="1" applyAlignment="1">
      <alignment horizontal="center"/>
    </xf>
    <xf numFmtId="2" fontId="0" fillId="3" borderId="26" xfId="0" applyNumberFormat="1" applyFill="1" applyBorder="1" applyAlignment="1">
      <alignment horizontal="center"/>
    </xf>
    <xf numFmtId="166" fontId="0" fillId="3" borderId="26" xfId="2" applyNumberFormat="1" applyFont="1" applyFill="1" applyBorder="1"/>
    <xf numFmtId="166" fontId="0" fillId="3" borderId="27" xfId="2" applyNumberFormat="1" applyFont="1" applyFill="1" applyBorder="1"/>
    <xf numFmtId="0" fontId="2" fillId="0" borderId="0" xfId="0" applyFont="1"/>
    <xf numFmtId="0" fontId="5" fillId="3" borderId="4" xfId="0" applyFont="1" applyFill="1" applyBorder="1"/>
    <xf numFmtId="0" fontId="4" fillId="3" borderId="4" xfId="0" applyFont="1" applyFill="1" applyBorder="1"/>
    <xf numFmtId="0" fontId="5" fillId="3" borderId="28" xfId="0" applyFont="1" applyFill="1" applyBorder="1"/>
    <xf numFmtId="0" fontId="4" fillId="3" borderId="28" xfId="0" applyFont="1" applyFill="1" applyBorder="1"/>
  </cellXfs>
  <cellStyles count="3"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border diagonalUp="0" diagonalDown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numFmt numFmtId="1" formatCode="0"/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D3D9C1-BEE8-4723-9DF3-74E730E677CE}" name="tblInventory" displayName="tblInventory" ref="B1:G422" totalsRowShown="0" headerRowDxfId="32" headerRowBorderDxfId="31" tableBorderDxfId="30" totalsRowBorderDxfId="29">
  <autoFilter ref="B1:G422" xr:uid="{56D3D9C1-BEE8-4723-9DF3-74E730E677CE}">
    <filterColumn colId="2">
      <filters>
        <filter val="‎3/4&quot; ‎בורג‎ ‎עבור‎ PVC ‎כובעון"/>
        <filter val="‎M-14 ‎בורג‎ ‎עבור‎ PVC ‎כובעון"/>
        <filter val="‎M-16 ‎בורג‎ ‎עבור‎ PVC ‎כובעון"/>
        <filter val="‎ST A4 SS316 DIN7991 M4X16 ‎אלן‎ ‎קוני‎ ‎ראש‎ ‎בורג"/>
        <filter val="‎ST A4 SS316 DIN7991 M4X20 ‎אלן‎ ‎קוני‎ ‎ראש‎ ‎בורג"/>
        <filter val="‎ST A4 SS316 DIN965 M5X16 ‎פיליפס‎ ‎קוני‎ ‎ראש‎ ‎בורג"/>
        <filter val="‎אבץ‎ ‎ציפוי‎ + 3/4&quot;-10 UNC X 6.0&quot;(150mm) ‎סגר‎ ‎בורג"/>
        <filter val="‎אבץ‎ ‎ציפוי‎ + 3/4&quot;-10 UNC X 9.5&quot;(241mm) ‎סגר‎ ‎בורג"/>
        <filter val="‎אבץ‎ ‎ציפוי‎ SS316 M14X155 ‎סגר‎ ‎בורג"/>
        <filter val="‎אבץ‎ ‎ציפוי‎ SS316 M16X160 ‎סגר‎ ‎בורג"/>
        <filter val="‎אבץ‎ ‎ציפוי‎ SS316 M16X180 ‎סגר‎ ‎בורג"/>
        <filter val="‎אבץ‎ ‎ציפוי‎ SS316 M16X225 ‎סגר‎ ‎בורג"/>
        <filter val="‎אבץ‎ ‎ציפוי‎+5/8&quot;-11 UNC X 4.5&quot;(115mm) ‎סגר‎ ‎בורג"/>
        <filter val="‎אבץ‎ ‎ציפוי‎+5/8&quot;-11 UNC X 7.5&quot;(190mm) ‎סגר‎ ‎בורג"/>
        <filter val="‎אבץ‎.‎צ‎ NS SS316 M12X45 ‎סגר‎ ‎בורג"/>
        <filter val="‎אבץ‎.‎צ‎ NS SS316 M14X50 ‎סגר‎ ‎בורג"/>
        <filter val="‎אבץ‎.‎צ‎ NS SS316 M16X50 ‎סגר‎ ‎בורג"/>
      </filters>
    </filterColumn>
  </autoFilter>
  <tableColumns count="6">
    <tableColumn id="1" xr3:uid="{10BC9AA2-40C1-491F-B6DE-2FECD22BFB9C}" name="WH" dataDxfId="28"/>
    <tableColumn id="2" xr3:uid="{52627302-5102-4564-9ADD-B3943D46A284}" name="SKU" dataDxfId="27"/>
    <tableColumn id="3" xr3:uid="{B1C74082-A0D7-4E7E-BF9F-826C847FE3DA}" name="Desc" dataDxfId="26"/>
    <tableColumn id="4" xr3:uid="{AB068AFA-D688-40DC-947C-B71727E21FAB}" name="Qty on Stock" dataDxfId="25"/>
    <tableColumn id="5" xr3:uid="{6C58A1CA-E232-4FF4-AF8E-67DE83F5160E}" name="Status" dataDxfId="24"/>
    <tableColumn id="6" xr3:uid="{5E192A28-2AA9-4A50-9295-C26024D2C6E2}" name="Item family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22" headerRowBorderDxfId="21" tableBorderDxfId="20" totalsRowBorderDxfId="19" headerRowCellStyle="Normal 4">
  <autoFilter ref="B1:F1451" xr:uid="{E50254EA-F55B-42CC-A488-19AC70D3BA39}"/>
  <tableColumns count="5">
    <tableColumn id="1" xr3:uid="{3846B819-0BCE-4A74-BE0B-61FF0EE5269F}" name="FG" dataDxfId="18">
      <calculatedColumnFormula>"8638270266031216"</calculatedColumnFormula>
    </tableColumn>
    <tableColumn id="2" xr3:uid="{3E9F4546-7F15-47D7-AF63-C3E7AEBA7E54}" name="FG Description" dataDxfId="17" dataCellStyle="Normal 4"/>
    <tableColumn id="3" xr3:uid="{70AE81AC-D6E3-46BD-B8E2-85CD83EB4EB7}" name="SKU" dataDxfId="16"/>
    <tableColumn id="4" xr3:uid="{2B441159-FD2B-4439-B032-E8D0E795A3E7}" name="Desc" dataDxfId="15"/>
    <tableColumn id="5" xr3:uid="{0337CF17-DFD3-4DA6-A4E9-6BD1DCEB4C8C}" name="Units in FG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13" headerRowBorderDxfId="12" tableBorderDxfId="11" totalsRowBorderDxfId="10">
  <autoFilter ref="B1:J60" xr:uid="{F396BD88-89C8-4019-B68B-222C8B69325C}"/>
  <tableColumns count="9">
    <tableColumn id="1" xr3:uid="{D0973E65-F161-45F2-A7D9-50ACDDF8A5CF}" name="#" dataDxfId="9"/>
    <tableColumn id="2" xr3:uid="{65769069-ECD2-4398-9F13-45CDB8F51D27}" name="Item" dataDxfId="8"/>
    <tableColumn id="3" xr3:uid="{0FEF860C-A75B-48F0-9ED2-66DA29BCAB2B}" name="Description" dataDxfId="7"/>
    <tableColumn id="4" xr3:uid="{6FEED977-0E89-433E-B9FD-68B30536BE99}" name="Type" dataDxfId="6"/>
    <tableColumn id="5" xr3:uid="{F18AAD2C-FD7A-459C-9C31-B1F7FEC2D02E}" name="Size (DN)" dataDxfId="5"/>
    <tableColumn id="6" xr3:uid="{8A309AA4-F7C3-405D-8439-C412BBEF9D78}" name="Tolerance (mm)" dataDxfId="4"/>
    <tableColumn id="7" xr3:uid="{3FF2BC70-E7C5-4B53-87DA-3B1674D39C1D}" name="Weight  (Kg)" dataDxfId="3"/>
    <tableColumn id="8" xr3:uid="{EB401E73-EB7E-493F-891F-A5EC781298C7}" name="max units in pallet" dataDxfId="2" dataCellStyle="Comma 2"/>
    <tableColumn id="9" xr3:uid="{492EF805-52F0-4F79-B02B-BE89723ECFDF}" name="Total pallet weight (kg)" dataDxfId="1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09FE8-423E-41A8-A3C6-A10F8041E56B}">
  <dimension ref="B1:G422"/>
  <sheetViews>
    <sheetView workbookViewId="0">
      <selection activeCell="E175" sqref="E175"/>
    </sheetView>
  </sheetViews>
  <sheetFormatPr defaultRowHeight="14.5" x14ac:dyDescent="0.35"/>
  <cols>
    <col min="3" max="3" width="18.90625" bestFit="1" customWidth="1"/>
    <col min="4" max="4" width="55.90625" bestFit="1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25" t="s">
        <v>0</v>
      </c>
      <c r="C1" s="26" t="s">
        <v>1</v>
      </c>
      <c r="D1" s="26" t="s">
        <v>2</v>
      </c>
      <c r="E1" s="26" t="s">
        <v>539</v>
      </c>
      <c r="F1" s="26" t="s">
        <v>3</v>
      </c>
      <c r="G1" s="27" t="s">
        <v>4</v>
      </c>
    </row>
    <row r="2" spans="2:7" hidden="1" x14ac:dyDescent="0.35">
      <c r="B2" s="20" t="s">
        <v>5</v>
      </c>
      <c r="C2" s="1" t="s">
        <v>6</v>
      </c>
      <c r="D2" s="1" t="s">
        <v>7</v>
      </c>
      <c r="E2" s="2">
        <v>6000</v>
      </c>
      <c r="F2" s="1" t="s">
        <v>8</v>
      </c>
      <c r="G2" s="21"/>
    </row>
    <row r="3" spans="2:7" hidden="1" x14ac:dyDescent="0.35">
      <c r="B3" s="20" t="s">
        <v>5</v>
      </c>
      <c r="C3" s="1" t="s">
        <v>9</v>
      </c>
      <c r="D3" s="1" t="s">
        <v>10</v>
      </c>
      <c r="E3" s="2">
        <v>2512</v>
      </c>
      <c r="F3" s="1" t="s">
        <v>8</v>
      </c>
      <c r="G3" s="21"/>
    </row>
    <row r="4" spans="2:7" hidden="1" x14ac:dyDescent="0.35">
      <c r="B4" s="20" t="s">
        <v>5</v>
      </c>
      <c r="C4" s="1" t="s">
        <v>11</v>
      </c>
      <c r="D4" s="1" t="s">
        <v>12</v>
      </c>
      <c r="E4" s="2">
        <v>1414</v>
      </c>
      <c r="F4" s="1" t="s">
        <v>8</v>
      </c>
      <c r="G4" s="21"/>
    </row>
    <row r="5" spans="2:7" hidden="1" x14ac:dyDescent="0.35">
      <c r="B5" s="20" t="s">
        <v>5</v>
      </c>
      <c r="C5" s="1" t="s">
        <v>13</v>
      </c>
      <c r="D5" s="1" t="s">
        <v>14</v>
      </c>
      <c r="E5" s="2">
        <v>754</v>
      </c>
      <c r="F5" s="1" t="s">
        <v>8</v>
      </c>
      <c r="G5" s="21"/>
    </row>
    <row r="6" spans="2:7" hidden="1" x14ac:dyDescent="0.35">
      <c r="B6" s="20" t="s">
        <v>5</v>
      </c>
      <c r="C6" s="1" t="s">
        <v>15</v>
      </c>
      <c r="D6" s="1" t="s">
        <v>16</v>
      </c>
      <c r="E6" s="2">
        <v>1977</v>
      </c>
      <c r="F6" s="1" t="s">
        <v>8</v>
      </c>
      <c r="G6" s="21"/>
    </row>
    <row r="7" spans="2:7" hidden="1" x14ac:dyDescent="0.35">
      <c r="B7" s="20" t="s">
        <v>5</v>
      </c>
      <c r="C7" s="1" t="s">
        <v>17</v>
      </c>
      <c r="D7" s="1" t="s">
        <v>18</v>
      </c>
      <c r="E7" s="2">
        <v>102</v>
      </c>
      <c r="F7" s="1" t="s">
        <v>8</v>
      </c>
      <c r="G7" s="21"/>
    </row>
    <row r="8" spans="2:7" hidden="1" x14ac:dyDescent="0.35">
      <c r="B8" s="20" t="s">
        <v>5</v>
      </c>
      <c r="C8" s="1" t="s">
        <v>19</v>
      </c>
      <c r="D8" s="1" t="s">
        <v>20</v>
      </c>
      <c r="E8" s="2">
        <v>418</v>
      </c>
      <c r="F8" s="1" t="s">
        <v>8</v>
      </c>
      <c r="G8" s="21"/>
    </row>
    <row r="9" spans="2:7" hidden="1" x14ac:dyDescent="0.35">
      <c r="B9" s="20" t="s">
        <v>5</v>
      </c>
      <c r="C9" s="1" t="s">
        <v>21</v>
      </c>
      <c r="D9" s="1" t="s">
        <v>22</v>
      </c>
      <c r="E9" s="2">
        <v>314</v>
      </c>
      <c r="F9" s="1" t="s">
        <v>8</v>
      </c>
      <c r="G9" s="21"/>
    </row>
    <row r="10" spans="2:7" hidden="1" x14ac:dyDescent="0.35">
      <c r="B10" s="20" t="s">
        <v>5</v>
      </c>
      <c r="C10" s="1" t="s">
        <v>23</v>
      </c>
      <c r="D10" s="1" t="s">
        <v>24</v>
      </c>
      <c r="E10" s="2">
        <v>119</v>
      </c>
      <c r="F10" s="1" t="s">
        <v>8</v>
      </c>
      <c r="G10" s="21"/>
    </row>
    <row r="11" spans="2:7" hidden="1" x14ac:dyDescent="0.35">
      <c r="B11" s="20" t="s">
        <v>5</v>
      </c>
      <c r="C11" s="1" t="s">
        <v>25</v>
      </c>
      <c r="D11" s="1" t="s">
        <v>26</v>
      </c>
      <c r="E11" s="2">
        <v>150</v>
      </c>
      <c r="F11" s="1" t="s">
        <v>8</v>
      </c>
      <c r="G11" s="21"/>
    </row>
    <row r="12" spans="2:7" hidden="1" x14ac:dyDescent="0.35">
      <c r="B12" s="20" t="s">
        <v>5</v>
      </c>
      <c r="C12" s="1" t="s">
        <v>27</v>
      </c>
      <c r="D12" s="1" t="s">
        <v>28</v>
      </c>
      <c r="E12" s="2">
        <v>72</v>
      </c>
      <c r="F12" s="1" t="s">
        <v>8</v>
      </c>
      <c r="G12" s="21"/>
    </row>
    <row r="13" spans="2:7" hidden="1" x14ac:dyDescent="0.35">
      <c r="B13" s="20" t="s">
        <v>5</v>
      </c>
      <c r="C13" s="1" t="s">
        <v>29</v>
      </c>
      <c r="D13" s="1" t="s">
        <v>30</v>
      </c>
      <c r="E13" s="2">
        <v>2</v>
      </c>
      <c r="F13" s="1" t="s">
        <v>31</v>
      </c>
      <c r="G13" s="21"/>
    </row>
    <row r="14" spans="2:7" hidden="1" x14ac:dyDescent="0.35">
      <c r="B14" s="20" t="s">
        <v>5</v>
      </c>
      <c r="C14" s="1" t="s">
        <v>29</v>
      </c>
      <c r="D14" s="1" t="s">
        <v>30</v>
      </c>
      <c r="E14" s="2">
        <v>247</v>
      </c>
      <c r="F14" s="1" t="s">
        <v>8</v>
      </c>
      <c r="G14" s="21"/>
    </row>
    <row r="15" spans="2:7" hidden="1" x14ac:dyDescent="0.35">
      <c r="B15" s="20" t="s">
        <v>5</v>
      </c>
      <c r="C15" s="1" t="s">
        <v>32</v>
      </c>
      <c r="D15" s="1" t="s">
        <v>33</v>
      </c>
      <c r="E15" s="2">
        <v>61</v>
      </c>
      <c r="F15" s="1" t="s">
        <v>8</v>
      </c>
      <c r="G15" s="21"/>
    </row>
    <row r="16" spans="2:7" hidden="1" x14ac:dyDescent="0.35">
      <c r="B16" s="20" t="s">
        <v>5</v>
      </c>
      <c r="C16" s="1" t="s">
        <v>34</v>
      </c>
      <c r="D16" s="1" t="s">
        <v>35</v>
      </c>
      <c r="E16" s="2">
        <v>14732</v>
      </c>
      <c r="F16" s="1" t="s">
        <v>8</v>
      </c>
      <c r="G16" s="21"/>
    </row>
    <row r="17" spans="2:7" hidden="1" x14ac:dyDescent="0.35">
      <c r="B17" s="20" t="s">
        <v>5</v>
      </c>
      <c r="C17" s="1" t="s">
        <v>36</v>
      </c>
      <c r="D17" s="1" t="s">
        <v>37</v>
      </c>
      <c r="E17" s="2">
        <v>12</v>
      </c>
      <c r="F17" s="1" t="s">
        <v>8</v>
      </c>
      <c r="G17" s="21"/>
    </row>
    <row r="18" spans="2:7" hidden="1" x14ac:dyDescent="0.35">
      <c r="B18" s="20" t="s">
        <v>5</v>
      </c>
      <c r="C18" s="1" t="s">
        <v>38</v>
      </c>
      <c r="D18" s="1" t="s">
        <v>39</v>
      </c>
      <c r="E18" s="2">
        <v>30</v>
      </c>
      <c r="F18" s="1" t="s">
        <v>8</v>
      </c>
      <c r="G18" s="21"/>
    </row>
    <row r="19" spans="2:7" hidden="1" x14ac:dyDescent="0.35">
      <c r="B19" s="20" t="s">
        <v>5</v>
      </c>
      <c r="C19" s="1" t="s">
        <v>40</v>
      </c>
      <c r="D19" s="1" t="s">
        <v>41</v>
      </c>
      <c r="E19" s="2">
        <v>107</v>
      </c>
      <c r="F19" s="1" t="s">
        <v>8</v>
      </c>
      <c r="G19" s="21"/>
    </row>
    <row r="20" spans="2:7" hidden="1" x14ac:dyDescent="0.35">
      <c r="B20" s="20" t="s">
        <v>5</v>
      </c>
      <c r="C20" s="1" t="s">
        <v>42</v>
      </c>
      <c r="D20" s="1" t="s">
        <v>43</v>
      </c>
      <c r="E20" s="2">
        <v>1</v>
      </c>
      <c r="F20" s="1" t="s">
        <v>31</v>
      </c>
      <c r="G20" s="21"/>
    </row>
    <row r="21" spans="2:7" hidden="1" x14ac:dyDescent="0.35">
      <c r="B21" s="20" t="s">
        <v>5</v>
      </c>
      <c r="C21" s="1" t="s">
        <v>42</v>
      </c>
      <c r="D21" s="1" t="s">
        <v>43</v>
      </c>
      <c r="E21" s="2">
        <v>63</v>
      </c>
      <c r="F21" s="1" t="s">
        <v>8</v>
      </c>
      <c r="G21" s="21"/>
    </row>
    <row r="22" spans="2:7" hidden="1" x14ac:dyDescent="0.35">
      <c r="B22" s="20" t="s">
        <v>5</v>
      </c>
      <c r="C22" s="1" t="s">
        <v>44</v>
      </c>
      <c r="D22" s="1" t="s">
        <v>45</v>
      </c>
      <c r="E22" s="2">
        <v>113</v>
      </c>
      <c r="F22" s="1" t="s">
        <v>8</v>
      </c>
      <c r="G22" s="21"/>
    </row>
    <row r="23" spans="2:7" hidden="1" x14ac:dyDescent="0.35">
      <c r="B23" s="20" t="s">
        <v>5</v>
      </c>
      <c r="C23" s="1" t="s">
        <v>46</v>
      </c>
      <c r="D23" s="1" t="s">
        <v>47</v>
      </c>
      <c r="E23" s="2">
        <v>173</v>
      </c>
      <c r="F23" s="1" t="s">
        <v>8</v>
      </c>
      <c r="G23" s="21"/>
    </row>
    <row r="24" spans="2:7" hidden="1" x14ac:dyDescent="0.35">
      <c r="B24" s="20" t="s">
        <v>5</v>
      </c>
      <c r="C24" s="1" t="s">
        <v>48</v>
      </c>
      <c r="D24" s="1" t="s">
        <v>49</v>
      </c>
      <c r="E24" s="2">
        <v>5</v>
      </c>
      <c r="F24" s="1" t="s">
        <v>31</v>
      </c>
      <c r="G24" s="21"/>
    </row>
    <row r="25" spans="2:7" hidden="1" x14ac:dyDescent="0.35">
      <c r="B25" s="20" t="s">
        <v>5</v>
      </c>
      <c r="C25" s="1" t="s">
        <v>48</v>
      </c>
      <c r="D25" s="1" t="s">
        <v>49</v>
      </c>
      <c r="E25" s="2">
        <v>13</v>
      </c>
      <c r="F25" s="1" t="s">
        <v>8</v>
      </c>
      <c r="G25" s="21"/>
    </row>
    <row r="26" spans="2:7" hidden="1" x14ac:dyDescent="0.35">
      <c r="B26" s="20" t="s">
        <v>5</v>
      </c>
      <c r="C26" s="1" t="s">
        <v>50</v>
      </c>
      <c r="D26" s="1" t="s">
        <v>51</v>
      </c>
      <c r="E26" s="2">
        <v>38</v>
      </c>
      <c r="F26" s="1" t="s">
        <v>8</v>
      </c>
      <c r="G26" s="21"/>
    </row>
    <row r="27" spans="2:7" hidden="1" x14ac:dyDescent="0.35">
      <c r="B27" s="20" t="s">
        <v>5</v>
      </c>
      <c r="C27" s="1" t="s">
        <v>52</v>
      </c>
      <c r="D27" s="1" t="s">
        <v>53</v>
      </c>
      <c r="E27" s="2">
        <v>9</v>
      </c>
      <c r="F27" s="1" t="s">
        <v>8</v>
      </c>
      <c r="G27" s="21"/>
    </row>
    <row r="28" spans="2:7" hidden="1" x14ac:dyDescent="0.35">
      <c r="B28" s="20" t="s">
        <v>5</v>
      </c>
      <c r="C28" s="1" t="s">
        <v>54</v>
      </c>
      <c r="D28" s="1" t="s">
        <v>55</v>
      </c>
      <c r="E28" s="2">
        <v>55</v>
      </c>
      <c r="F28" s="1" t="s">
        <v>8</v>
      </c>
      <c r="G28" s="21"/>
    </row>
    <row r="29" spans="2:7" hidden="1" x14ac:dyDescent="0.35">
      <c r="B29" s="20" t="s">
        <v>5</v>
      </c>
      <c r="C29" s="1" t="s">
        <v>56</v>
      </c>
      <c r="D29" s="1" t="s">
        <v>57</v>
      </c>
      <c r="E29" s="2">
        <v>80</v>
      </c>
      <c r="F29" s="1" t="s">
        <v>8</v>
      </c>
      <c r="G29" s="21"/>
    </row>
    <row r="30" spans="2:7" hidden="1" x14ac:dyDescent="0.35">
      <c r="B30" s="20" t="s">
        <v>5</v>
      </c>
      <c r="C30" s="1" t="s">
        <v>58</v>
      </c>
      <c r="D30" s="1" t="s">
        <v>59</v>
      </c>
      <c r="E30" s="2">
        <v>71</v>
      </c>
      <c r="F30" s="1" t="s">
        <v>8</v>
      </c>
      <c r="G30" s="21"/>
    </row>
    <row r="31" spans="2:7" hidden="1" x14ac:dyDescent="0.35">
      <c r="B31" s="20" t="s">
        <v>5</v>
      </c>
      <c r="C31" s="1" t="s">
        <v>60</v>
      </c>
      <c r="D31" s="1" t="s">
        <v>61</v>
      </c>
      <c r="E31" s="2">
        <v>500</v>
      </c>
      <c r="F31" s="1" t="s">
        <v>8</v>
      </c>
      <c r="G31" s="21"/>
    </row>
    <row r="32" spans="2:7" hidden="1" x14ac:dyDescent="0.35">
      <c r="B32" s="20" t="s">
        <v>5</v>
      </c>
      <c r="C32" s="1" t="s">
        <v>62</v>
      </c>
      <c r="D32" s="1" t="s">
        <v>63</v>
      </c>
      <c r="E32" s="2">
        <v>4500</v>
      </c>
      <c r="F32" s="1" t="s">
        <v>8</v>
      </c>
      <c r="G32" s="21"/>
    </row>
    <row r="33" spans="2:7" hidden="1" x14ac:dyDescent="0.35">
      <c r="B33" s="20" t="s">
        <v>5</v>
      </c>
      <c r="C33" s="1" t="s">
        <v>64</v>
      </c>
      <c r="D33" s="1" t="s">
        <v>65</v>
      </c>
      <c r="E33" s="2">
        <v>5500</v>
      </c>
      <c r="F33" s="1" t="s">
        <v>8</v>
      </c>
      <c r="G33" s="21"/>
    </row>
    <row r="34" spans="2:7" hidden="1" x14ac:dyDescent="0.35">
      <c r="B34" s="20" t="s">
        <v>5</v>
      </c>
      <c r="C34" s="1" t="s">
        <v>66</v>
      </c>
      <c r="D34" s="1" t="s">
        <v>67</v>
      </c>
      <c r="E34" s="2">
        <v>5058</v>
      </c>
      <c r="F34" s="1" t="s">
        <v>8</v>
      </c>
      <c r="G34" s="21"/>
    </row>
    <row r="35" spans="2:7" hidden="1" x14ac:dyDescent="0.35">
      <c r="B35" s="20" t="s">
        <v>5</v>
      </c>
      <c r="C35" s="1" t="s">
        <v>68</v>
      </c>
      <c r="D35" s="1" t="s">
        <v>69</v>
      </c>
      <c r="E35" s="2">
        <v>7976</v>
      </c>
      <c r="F35" s="1" t="s">
        <v>8</v>
      </c>
      <c r="G35" s="21"/>
    </row>
    <row r="36" spans="2:7" hidden="1" x14ac:dyDescent="0.35">
      <c r="B36" s="20" t="s">
        <v>5</v>
      </c>
      <c r="C36" s="1" t="s">
        <v>70</v>
      </c>
      <c r="D36" s="1" t="s">
        <v>71</v>
      </c>
      <c r="E36" s="2">
        <v>291</v>
      </c>
      <c r="F36" s="1" t="s">
        <v>8</v>
      </c>
      <c r="G36" s="21"/>
    </row>
    <row r="37" spans="2:7" hidden="1" x14ac:dyDescent="0.35">
      <c r="B37" s="20" t="s">
        <v>5</v>
      </c>
      <c r="C37" s="1" t="s">
        <v>72</v>
      </c>
      <c r="D37" s="1" t="s">
        <v>73</v>
      </c>
      <c r="E37" s="2">
        <v>1</v>
      </c>
      <c r="F37" s="1" t="s">
        <v>31</v>
      </c>
      <c r="G37" s="21"/>
    </row>
    <row r="38" spans="2:7" hidden="1" x14ac:dyDescent="0.35">
      <c r="B38" s="20" t="s">
        <v>5</v>
      </c>
      <c r="C38" s="1" t="s">
        <v>72</v>
      </c>
      <c r="D38" s="1" t="s">
        <v>73</v>
      </c>
      <c r="E38" s="2">
        <v>249</v>
      </c>
      <c r="F38" s="1" t="s">
        <v>8</v>
      </c>
      <c r="G38" s="21"/>
    </row>
    <row r="39" spans="2:7" hidden="1" x14ac:dyDescent="0.35">
      <c r="B39" s="20" t="s">
        <v>5</v>
      </c>
      <c r="C39" s="1" t="s">
        <v>74</v>
      </c>
      <c r="D39" s="1" t="s">
        <v>75</v>
      </c>
      <c r="E39" s="2">
        <v>48</v>
      </c>
      <c r="F39" s="1" t="s">
        <v>8</v>
      </c>
      <c r="G39" s="21"/>
    </row>
    <row r="40" spans="2:7" hidden="1" x14ac:dyDescent="0.35">
      <c r="B40" s="20" t="s">
        <v>5</v>
      </c>
      <c r="C40" s="1" t="s">
        <v>76</v>
      </c>
      <c r="D40" s="1" t="s">
        <v>77</v>
      </c>
      <c r="E40" s="2">
        <v>57</v>
      </c>
      <c r="F40" s="1" t="s">
        <v>8</v>
      </c>
      <c r="G40" s="21"/>
    </row>
    <row r="41" spans="2:7" hidden="1" x14ac:dyDescent="0.35">
      <c r="B41" s="20" t="s">
        <v>5</v>
      </c>
      <c r="C41" s="1" t="s">
        <v>78</v>
      </c>
      <c r="D41" s="1" t="s">
        <v>79</v>
      </c>
      <c r="E41" s="2">
        <v>6</v>
      </c>
      <c r="F41" s="1" t="s">
        <v>31</v>
      </c>
      <c r="G41" s="21"/>
    </row>
    <row r="42" spans="2:7" hidden="1" x14ac:dyDescent="0.35">
      <c r="B42" s="20" t="s">
        <v>5</v>
      </c>
      <c r="C42" s="1" t="s">
        <v>78</v>
      </c>
      <c r="D42" s="1" t="s">
        <v>79</v>
      </c>
      <c r="E42" s="2">
        <v>335</v>
      </c>
      <c r="F42" s="1" t="s">
        <v>8</v>
      </c>
      <c r="G42" s="21"/>
    </row>
    <row r="43" spans="2:7" hidden="1" x14ac:dyDescent="0.35">
      <c r="B43" s="20" t="s">
        <v>5</v>
      </c>
      <c r="C43" s="1" t="s">
        <v>80</v>
      </c>
      <c r="D43" s="1" t="s">
        <v>81</v>
      </c>
      <c r="E43" s="2">
        <v>15</v>
      </c>
      <c r="F43" s="1" t="s">
        <v>8</v>
      </c>
      <c r="G43" s="21"/>
    </row>
    <row r="44" spans="2:7" hidden="1" x14ac:dyDescent="0.35">
      <c r="B44" s="20" t="s">
        <v>5</v>
      </c>
      <c r="C44" s="1" t="s">
        <v>82</v>
      </c>
      <c r="D44" s="1" t="s">
        <v>83</v>
      </c>
      <c r="E44" s="2">
        <v>129</v>
      </c>
      <c r="F44" s="1" t="s">
        <v>8</v>
      </c>
      <c r="G44" s="21"/>
    </row>
    <row r="45" spans="2:7" hidden="1" x14ac:dyDescent="0.35">
      <c r="B45" s="20" t="s">
        <v>5</v>
      </c>
      <c r="C45" s="1" t="s">
        <v>84</v>
      </c>
      <c r="D45" s="1" t="s">
        <v>85</v>
      </c>
      <c r="E45" s="2">
        <v>70</v>
      </c>
      <c r="F45" s="1" t="s">
        <v>8</v>
      </c>
      <c r="G45" s="21"/>
    </row>
    <row r="46" spans="2:7" hidden="1" x14ac:dyDescent="0.35">
      <c r="B46" s="20" t="s">
        <v>5</v>
      </c>
      <c r="C46" s="1" t="s">
        <v>86</v>
      </c>
      <c r="D46" s="1" t="s">
        <v>87</v>
      </c>
      <c r="E46" s="2">
        <v>21</v>
      </c>
      <c r="F46" s="1" t="s">
        <v>8</v>
      </c>
      <c r="G46" s="21"/>
    </row>
    <row r="47" spans="2:7" hidden="1" x14ac:dyDescent="0.35">
      <c r="B47" s="20" t="s">
        <v>5</v>
      </c>
      <c r="C47" s="1" t="s">
        <v>88</v>
      </c>
      <c r="D47" s="1" t="s">
        <v>89</v>
      </c>
      <c r="E47" s="2">
        <v>28</v>
      </c>
      <c r="F47" s="1" t="s">
        <v>8</v>
      </c>
      <c r="G47" s="21"/>
    </row>
    <row r="48" spans="2:7" hidden="1" x14ac:dyDescent="0.35">
      <c r="B48" s="20" t="s">
        <v>5</v>
      </c>
      <c r="C48" s="1" t="s">
        <v>90</v>
      </c>
      <c r="D48" s="1" t="s">
        <v>91</v>
      </c>
      <c r="E48" s="2">
        <v>46</v>
      </c>
      <c r="F48" s="1" t="s">
        <v>8</v>
      </c>
      <c r="G48" s="21"/>
    </row>
    <row r="49" spans="2:7" hidden="1" x14ac:dyDescent="0.35">
      <c r="B49" s="20" t="s">
        <v>5</v>
      </c>
      <c r="C49" s="1" t="s">
        <v>92</v>
      </c>
      <c r="D49" s="1" t="s">
        <v>93</v>
      </c>
      <c r="E49" s="2">
        <v>25</v>
      </c>
      <c r="F49" s="1" t="s">
        <v>8</v>
      </c>
      <c r="G49" s="21"/>
    </row>
    <row r="50" spans="2:7" hidden="1" x14ac:dyDescent="0.35">
      <c r="B50" s="20" t="s">
        <v>5</v>
      </c>
      <c r="C50" s="1" t="s">
        <v>94</v>
      </c>
      <c r="D50" s="1" t="s">
        <v>95</v>
      </c>
      <c r="E50" s="2">
        <v>22</v>
      </c>
      <c r="F50" s="1" t="s">
        <v>8</v>
      </c>
      <c r="G50" s="21"/>
    </row>
    <row r="51" spans="2:7" hidden="1" x14ac:dyDescent="0.35">
      <c r="B51" s="20" t="s">
        <v>5</v>
      </c>
      <c r="C51" s="1" t="s">
        <v>96</v>
      </c>
      <c r="D51" s="1" t="s">
        <v>97</v>
      </c>
      <c r="E51" s="2">
        <v>65</v>
      </c>
      <c r="F51" s="1" t="s">
        <v>8</v>
      </c>
      <c r="G51" s="21"/>
    </row>
    <row r="52" spans="2:7" hidden="1" x14ac:dyDescent="0.35">
      <c r="B52" s="20" t="s">
        <v>5</v>
      </c>
      <c r="C52" s="1" t="s">
        <v>98</v>
      </c>
      <c r="D52" s="1" t="s">
        <v>99</v>
      </c>
      <c r="E52" s="2">
        <v>59</v>
      </c>
      <c r="F52" s="1" t="s">
        <v>8</v>
      </c>
      <c r="G52" s="21"/>
    </row>
    <row r="53" spans="2:7" hidden="1" x14ac:dyDescent="0.35">
      <c r="B53" s="20" t="s">
        <v>5</v>
      </c>
      <c r="C53" s="1" t="s">
        <v>100</v>
      </c>
      <c r="D53" s="1" t="s">
        <v>101</v>
      </c>
      <c r="E53" s="2">
        <v>1</v>
      </c>
      <c r="F53" s="1" t="s">
        <v>31</v>
      </c>
      <c r="G53" s="21"/>
    </row>
    <row r="54" spans="2:7" hidden="1" x14ac:dyDescent="0.35">
      <c r="B54" s="20" t="s">
        <v>5</v>
      </c>
      <c r="C54" s="1" t="s">
        <v>100</v>
      </c>
      <c r="D54" s="1" t="s">
        <v>101</v>
      </c>
      <c r="E54" s="2">
        <v>458</v>
      </c>
      <c r="F54" s="1" t="s">
        <v>8</v>
      </c>
      <c r="G54" s="21"/>
    </row>
    <row r="55" spans="2:7" hidden="1" x14ac:dyDescent="0.35">
      <c r="B55" s="20" t="s">
        <v>5</v>
      </c>
      <c r="C55" s="1" t="s">
        <v>102</v>
      </c>
      <c r="D55" s="1" t="s">
        <v>103</v>
      </c>
      <c r="E55" s="2">
        <v>1</v>
      </c>
      <c r="F55" s="1" t="s">
        <v>31</v>
      </c>
      <c r="G55" s="21"/>
    </row>
    <row r="56" spans="2:7" hidden="1" x14ac:dyDescent="0.35">
      <c r="B56" s="20" t="s">
        <v>5</v>
      </c>
      <c r="C56" s="1" t="s">
        <v>102</v>
      </c>
      <c r="D56" s="1" t="s">
        <v>103</v>
      </c>
      <c r="E56" s="2">
        <v>107</v>
      </c>
      <c r="F56" s="1" t="s">
        <v>8</v>
      </c>
      <c r="G56" s="21"/>
    </row>
    <row r="57" spans="2:7" hidden="1" x14ac:dyDescent="0.35">
      <c r="B57" s="20" t="s">
        <v>5</v>
      </c>
      <c r="C57" s="1" t="s">
        <v>104</v>
      </c>
      <c r="D57" s="1" t="s">
        <v>105</v>
      </c>
      <c r="E57" s="2">
        <v>43</v>
      </c>
      <c r="F57" s="1" t="s">
        <v>8</v>
      </c>
      <c r="G57" s="21"/>
    </row>
    <row r="58" spans="2:7" hidden="1" x14ac:dyDescent="0.35">
      <c r="B58" s="20" t="s">
        <v>5</v>
      </c>
      <c r="C58" s="1" t="s">
        <v>106</v>
      </c>
      <c r="D58" s="1" t="s">
        <v>107</v>
      </c>
      <c r="E58" s="2">
        <v>18</v>
      </c>
      <c r="F58" s="1" t="s">
        <v>8</v>
      </c>
      <c r="G58" s="21"/>
    </row>
    <row r="59" spans="2:7" hidden="1" x14ac:dyDescent="0.35">
      <c r="B59" s="20" t="s">
        <v>5</v>
      </c>
      <c r="C59" s="1" t="s">
        <v>108</v>
      </c>
      <c r="D59" s="1" t="s">
        <v>109</v>
      </c>
      <c r="E59" s="2">
        <v>5</v>
      </c>
      <c r="F59" s="1" t="s">
        <v>31</v>
      </c>
      <c r="G59" s="21"/>
    </row>
    <row r="60" spans="2:7" hidden="1" x14ac:dyDescent="0.35">
      <c r="B60" s="20" t="s">
        <v>5</v>
      </c>
      <c r="C60" s="1" t="s">
        <v>108</v>
      </c>
      <c r="D60" s="1" t="s">
        <v>109</v>
      </c>
      <c r="E60" s="2">
        <v>38</v>
      </c>
      <c r="F60" s="1" t="s">
        <v>8</v>
      </c>
      <c r="G60" s="21"/>
    </row>
    <row r="61" spans="2:7" hidden="1" x14ac:dyDescent="0.35">
      <c r="B61" s="20" t="s">
        <v>5</v>
      </c>
      <c r="C61" s="1" t="s">
        <v>110</v>
      </c>
      <c r="D61" s="1" t="s">
        <v>111</v>
      </c>
      <c r="E61" s="2">
        <v>57</v>
      </c>
      <c r="F61" s="1" t="s">
        <v>8</v>
      </c>
      <c r="G61" s="21"/>
    </row>
    <row r="62" spans="2:7" hidden="1" x14ac:dyDescent="0.35">
      <c r="B62" s="20" t="s">
        <v>5</v>
      </c>
      <c r="C62" s="1" t="s">
        <v>112</v>
      </c>
      <c r="D62" s="1" t="s">
        <v>113</v>
      </c>
      <c r="E62" s="2">
        <v>18</v>
      </c>
      <c r="F62" s="1" t="s">
        <v>8</v>
      </c>
      <c r="G62" s="21"/>
    </row>
    <row r="63" spans="2:7" hidden="1" x14ac:dyDescent="0.35">
      <c r="B63" s="20" t="s">
        <v>5</v>
      </c>
      <c r="C63" s="1" t="s">
        <v>114</v>
      </c>
      <c r="D63" s="1" t="s">
        <v>115</v>
      </c>
      <c r="E63" s="2">
        <v>15</v>
      </c>
      <c r="F63" s="1" t="s">
        <v>8</v>
      </c>
      <c r="G63" s="21"/>
    </row>
    <row r="64" spans="2:7" hidden="1" x14ac:dyDescent="0.35">
      <c r="B64" s="20" t="s">
        <v>5</v>
      </c>
      <c r="C64" s="1" t="s">
        <v>116</v>
      </c>
      <c r="D64" s="1" t="s">
        <v>117</v>
      </c>
      <c r="E64" s="2">
        <v>21</v>
      </c>
      <c r="F64" s="1" t="s">
        <v>8</v>
      </c>
      <c r="G64" s="21"/>
    </row>
    <row r="65" spans="2:7" hidden="1" x14ac:dyDescent="0.35">
      <c r="B65" s="20" t="s">
        <v>5</v>
      </c>
      <c r="C65" s="1" t="s">
        <v>118</v>
      </c>
      <c r="D65" s="1" t="s">
        <v>119</v>
      </c>
      <c r="E65" s="2">
        <v>63</v>
      </c>
      <c r="F65" s="1" t="s">
        <v>8</v>
      </c>
      <c r="G65" s="21"/>
    </row>
    <row r="66" spans="2:7" hidden="1" x14ac:dyDescent="0.35">
      <c r="B66" s="20" t="s">
        <v>5</v>
      </c>
      <c r="C66" s="1" t="s">
        <v>120</v>
      </c>
      <c r="D66" s="1" t="s">
        <v>121</v>
      </c>
      <c r="E66" s="2">
        <v>32</v>
      </c>
      <c r="F66" s="1" t="s">
        <v>8</v>
      </c>
      <c r="G66" s="21"/>
    </row>
    <row r="67" spans="2:7" hidden="1" x14ac:dyDescent="0.35">
      <c r="B67" s="20" t="s">
        <v>5</v>
      </c>
      <c r="C67" s="1" t="s">
        <v>122</v>
      </c>
      <c r="D67" s="1" t="s">
        <v>123</v>
      </c>
      <c r="E67" s="2">
        <v>22</v>
      </c>
      <c r="F67" s="1" t="s">
        <v>8</v>
      </c>
      <c r="G67" s="21"/>
    </row>
    <row r="68" spans="2:7" hidden="1" x14ac:dyDescent="0.35">
      <c r="B68" s="20" t="s">
        <v>5</v>
      </c>
      <c r="C68" s="1" t="s">
        <v>124</v>
      </c>
      <c r="D68" s="1" t="s">
        <v>125</v>
      </c>
      <c r="E68" s="2">
        <v>12</v>
      </c>
      <c r="F68" s="1" t="s">
        <v>8</v>
      </c>
      <c r="G68" s="21"/>
    </row>
    <row r="69" spans="2:7" hidden="1" x14ac:dyDescent="0.35">
      <c r="B69" s="20" t="s">
        <v>5</v>
      </c>
      <c r="C69" s="1" t="s">
        <v>126</v>
      </c>
      <c r="D69" s="1" t="s">
        <v>127</v>
      </c>
      <c r="E69" s="2">
        <v>70</v>
      </c>
      <c r="F69" s="1" t="s">
        <v>8</v>
      </c>
      <c r="G69" s="21"/>
    </row>
    <row r="70" spans="2:7" hidden="1" x14ac:dyDescent="0.35">
      <c r="B70" s="20" t="s">
        <v>5</v>
      </c>
      <c r="C70" s="1" t="s">
        <v>128</v>
      </c>
      <c r="D70" s="1" t="s">
        <v>129</v>
      </c>
      <c r="E70" s="2">
        <v>45</v>
      </c>
      <c r="F70" s="1" t="s">
        <v>8</v>
      </c>
      <c r="G70" s="21"/>
    </row>
    <row r="71" spans="2:7" hidden="1" x14ac:dyDescent="0.35">
      <c r="B71" s="20" t="s">
        <v>5</v>
      </c>
      <c r="C71" s="1" t="s">
        <v>130</v>
      </c>
      <c r="D71" s="1" t="s">
        <v>131</v>
      </c>
      <c r="E71" s="2">
        <v>71</v>
      </c>
      <c r="F71" s="1" t="s">
        <v>8</v>
      </c>
      <c r="G71" s="21"/>
    </row>
    <row r="72" spans="2:7" hidden="1" x14ac:dyDescent="0.35">
      <c r="B72" s="20" t="s">
        <v>5</v>
      </c>
      <c r="C72" s="1" t="s">
        <v>132</v>
      </c>
      <c r="D72" s="1" t="s">
        <v>133</v>
      </c>
      <c r="E72" s="2">
        <v>252</v>
      </c>
      <c r="F72" s="1" t="s">
        <v>8</v>
      </c>
      <c r="G72" s="21"/>
    </row>
    <row r="73" spans="2:7" hidden="1" x14ac:dyDescent="0.35">
      <c r="B73" s="20" t="s">
        <v>5</v>
      </c>
      <c r="C73" s="1" t="s">
        <v>134</v>
      </c>
      <c r="D73" s="1" t="s">
        <v>135</v>
      </c>
      <c r="E73" s="2">
        <v>381</v>
      </c>
      <c r="F73" s="1" t="s">
        <v>8</v>
      </c>
      <c r="G73" s="21"/>
    </row>
    <row r="74" spans="2:7" hidden="1" x14ac:dyDescent="0.35">
      <c r="B74" s="20" t="s">
        <v>5</v>
      </c>
      <c r="C74" s="1" t="s">
        <v>136</v>
      </c>
      <c r="D74" s="1" t="s">
        <v>137</v>
      </c>
      <c r="E74" s="2">
        <v>2559</v>
      </c>
      <c r="F74" s="1" t="s">
        <v>8</v>
      </c>
      <c r="G74" s="21"/>
    </row>
    <row r="75" spans="2:7" hidden="1" x14ac:dyDescent="0.35">
      <c r="B75" s="20" t="s">
        <v>5</v>
      </c>
      <c r="C75" s="1" t="s">
        <v>138</v>
      </c>
      <c r="D75" s="1" t="s">
        <v>139</v>
      </c>
      <c r="E75" s="2">
        <v>827</v>
      </c>
      <c r="F75" s="1" t="s">
        <v>8</v>
      </c>
      <c r="G75" s="21"/>
    </row>
    <row r="76" spans="2:7" hidden="1" x14ac:dyDescent="0.35">
      <c r="B76" s="20" t="s">
        <v>5</v>
      </c>
      <c r="C76" s="1" t="s">
        <v>140</v>
      </c>
      <c r="D76" s="1" t="s">
        <v>141</v>
      </c>
      <c r="E76" s="2">
        <v>1036</v>
      </c>
      <c r="F76" s="1" t="s">
        <v>8</v>
      </c>
      <c r="G76" s="21"/>
    </row>
    <row r="77" spans="2:7" hidden="1" x14ac:dyDescent="0.35">
      <c r="B77" s="20" t="s">
        <v>5</v>
      </c>
      <c r="C77" s="1" t="s">
        <v>142</v>
      </c>
      <c r="D77" s="1" t="s">
        <v>143</v>
      </c>
      <c r="E77" s="2">
        <v>1305</v>
      </c>
      <c r="F77" s="1" t="s">
        <v>8</v>
      </c>
      <c r="G77" s="21"/>
    </row>
    <row r="78" spans="2:7" hidden="1" x14ac:dyDescent="0.35">
      <c r="B78" s="20" t="s">
        <v>5</v>
      </c>
      <c r="C78" s="1" t="s">
        <v>144</v>
      </c>
      <c r="D78" s="1" t="s">
        <v>145</v>
      </c>
      <c r="E78" s="2">
        <v>217</v>
      </c>
      <c r="F78" s="1" t="s">
        <v>8</v>
      </c>
      <c r="G78" s="21"/>
    </row>
    <row r="79" spans="2:7" hidden="1" x14ac:dyDescent="0.35">
      <c r="B79" s="20" t="s">
        <v>5</v>
      </c>
      <c r="C79" s="1" t="s">
        <v>146</v>
      </c>
      <c r="D79" s="1" t="s">
        <v>147</v>
      </c>
      <c r="E79" s="2">
        <v>588</v>
      </c>
      <c r="F79" s="1" t="s">
        <v>8</v>
      </c>
      <c r="G79" s="21"/>
    </row>
    <row r="80" spans="2:7" hidden="1" x14ac:dyDescent="0.35">
      <c r="B80" s="20" t="s">
        <v>5</v>
      </c>
      <c r="C80" s="1" t="s">
        <v>148</v>
      </c>
      <c r="D80" s="1" t="s">
        <v>149</v>
      </c>
      <c r="E80" s="2">
        <v>352</v>
      </c>
      <c r="F80" s="1" t="s">
        <v>8</v>
      </c>
      <c r="G80" s="21"/>
    </row>
    <row r="81" spans="2:7" hidden="1" x14ac:dyDescent="0.35">
      <c r="B81" s="20" t="s">
        <v>5</v>
      </c>
      <c r="C81" s="1" t="s">
        <v>150</v>
      </c>
      <c r="D81" s="1" t="s">
        <v>151</v>
      </c>
      <c r="E81" s="2">
        <v>405</v>
      </c>
      <c r="F81" s="1" t="s">
        <v>8</v>
      </c>
      <c r="G81" s="21"/>
    </row>
    <row r="82" spans="2:7" hidden="1" x14ac:dyDescent="0.35">
      <c r="B82" s="20" t="s">
        <v>5</v>
      </c>
      <c r="C82" s="1" t="s">
        <v>152</v>
      </c>
      <c r="D82" s="1" t="s">
        <v>153</v>
      </c>
      <c r="E82" s="2">
        <v>32</v>
      </c>
      <c r="F82" s="1" t="s">
        <v>8</v>
      </c>
      <c r="G82" s="21"/>
    </row>
    <row r="83" spans="2:7" hidden="1" x14ac:dyDescent="0.35">
      <c r="B83" s="20" t="s">
        <v>5</v>
      </c>
      <c r="C83" s="1" t="s">
        <v>154</v>
      </c>
      <c r="D83" s="1" t="s">
        <v>155</v>
      </c>
      <c r="E83" s="2">
        <v>11</v>
      </c>
      <c r="F83" s="1" t="s">
        <v>8</v>
      </c>
      <c r="G83" s="21"/>
    </row>
    <row r="84" spans="2:7" hidden="1" x14ac:dyDescent="0.35">
      <c r="B84" s="20" t="s">
        <v>5</v>
      </c>
      <c r="C84" s="1" t="s">
        <v>156</v>
      </c>
      <c r="D84" s="1" t="s">
        <v>157</v>
      </c>
      <c r="E84" s="2">
        <v>12</v>
      </c>
      <c r="F84" s="1" t="s">
        <v>8</v>
      </c>
      <c r="G84" s="21"/>
    </row>
    <row r="85" spans="2:7" hidden="1" x14ac:dyDescent="0.35">
      <c r="B85" s="20" t="s">
        <v>5</v>
      </c>
      <c r="C85" s="1" t="s">
        <v>158</v>
      </c>
      <c r="D85" s="1" t="s">
        <v>159</v>
      </c>
      <c r="E85" s="2">
        <v>1</v>
      </c>
      <c r="F85" s="1" t="s">
        <v>8</v>
      </c>
      <c r="G85" s="21"/>
    </row>
    <row r="86" spans="2:7" hidden="1" x14ac:dyDescent="0.35">
      <c r="B86" s="20" t="s">
        <v>5</v>
      </c>
      <c r="C86" s="1" t="s">
        <v>160</v>
      </c>
      <c r="D86" s="1" t="s">
        <v>161</v>
      </c>
      <c r="E86" s="2">
        <v>729</v>
      </c>
      <c r="F86" s="1" t="s">
        <v>8</v>
      </c>
      <c r="G86" s="21"/>
    </row>
    <row r="87" spans="2:7" hidden="1" x14ac:dyDescent="0.35">
      <c r="B87" s="20" t="s">
        <v>5</v>
      </c>
      <c r="C87" s="1" t="s">
        <v>162</v>
      </c>
      <c r="D87" s="1" t="s">
        <v>163</v>
      </c>
      <c r="E87" s="2">
        <v>295</v>
      </c>
      <c r="F87" s="1" t="s">
        <v>8</v>
      </c>
      <c r="G87" s="21"/>
    </row>
    <row r="88" spans="2:7" hidden="1" x14ac:dyDescent="0.35">
      <c r="B88" s="20" t="s">
        <v>5</v>
      </c>
      <c r="C88" s="1" t="s">
        <v>164</v>
      </c>
      <c r="D88" s="1" t="s">
        <v>165</v>
      </c>
      <c r="E88" s="2">
        <v>531</v>
      </c>
      <c r="F88" s="1" t="s">
        <v>8</v>
      </c>
      <c r="G88" s="21"/>
    </row>
    <row r="89" spans="2:7" hidden="1" x14ac:dyDescent="0.35">
      <c r="B89" s="20" t="s">
        <v>5</v>
      </c>
      <c r="C89" s="1" t="s">
        <v>166</v>
      </c>
      <c r="D89" s="1" t="s">
        <v>167</v>
      </c>
      <c r="E89" s="2">
        <v>480</v>
      </c>
      <c r="F89" s="1" t="s">
        <v>8</v>
      </c>
      <c r="G89" s="21"/>
    </row>
    <row r="90" spans="2:7" hidden="1" x14ac:dyDescent="0.35">
      <c r="B90" s="20" t="s">
        <v>5</v>
      </c>
      <c r="C90" s="1" t="s">
        <v>168</v>
      </c>
      <c r="D90" s="1" t="s">
        <v>169</v>
      </c>
      <c r="E90" s="2">
        <v>3830</v>
      </c>
      <c r="F90" s="1" t="s">
        <v>8</v>
      </c>
      <c r="G90" s="21"/>
    </row>
    <row r="91" spans="2:7" hidden="1" x14ac:dyDescent="0.35">
      <c r="B91" s="20" t="s">
        <v>5</v>
      </c>
      <c r="C91" s="1" t="s">
        <v>170</v>
      </c>
      <c r="D91" s="1" t="s">
        <v>171</v>
      </c>
      <c r="E91" s="2">
        <v>3716</v>
      </c>
      <c r="F91" s="1" t="s">
        <v>8</v>
      </c>
      <c r="G91" s="21"/>
    </row>
    <row r="92" spans="2:7" hidden="1" x14ac:dyDescent="0.35">
      <c r="B92" s="20" t="s">
        <v>5</v>
      </c>
      <c r="C92" s="1" t="s">
        <v>172</v>
      </c>
      <c r="D92" s="1" t="s">
        <v>173</v>
      </c>
      <c r="E92" s="2">
        <v>22</v>
      </c>
      <c r="F92" s="1" t="s">
        <v>8</v>
      </c>
      <c r="G92" s="21"/>
    </row>
    <row r="93" spans="2:7" hidden="1" x14ac:dyDescent="0.35">
      <c r="B93" s="20" t="s">
        <v>5</v>
      </c>
      <c r="C93" s="1" t="s">
        <v>174</v>
      </c>
      <c r="D93" s="1" t="s">
        <v>175</v>
      </c>
      <c r="E93" s="2">
        <v>23</v>
      </c>
      <c r="F93" s="1" t="s">
        <v>8</v>
      </c>
      <c r="G93" s="21"/>
    </row>
    <row r="94" spans="2:7" hidden="1" x14ac:dyDescent="0.35">
      <c r="B94" s="20" t="s">
        <v>5</v>
      </c>
      <c r="C94" s="1" t="s">
        <v>176</v>
      </c>
      <c r="D94" s="1" t="s">
        <v>177</v>
      </c>
      <c r="E94" s="2">
        <v>1995</v>
      </c>
      <c r="F94" s="1" t="s">
        <v>8</v>
      </c>
      <c r="G94" s="21"/>
    </row>
    <row r="95" spans="2:7" hidden="1" x14ac:dyDescent="0.35">
      <c r="B95" s="20" t="s">
        <v>5</v>
      </c>
      <c r="C95" s="1" t="s">
        <v>178</v>
      </c>
      <c r="D95" s="1" t="s">
        <v>179</v>
      </c>
      <c r="E95" s="2">
        <v>1661</v>
      </c>
      <c r="F95" s="1" t="s">
        <v>8</v>
      </c>
      <c r="G95" s="21"/>
    </row>
    <row r="96" spans="2:7" hidden="1" x14ac:dyDescent="0.35">
      <c r="B96" s="20" t="s">
        <v>5</v>
      </c>
      <c r="C96" s="1" t="s">
        <v>180</v>
      </c>
      <c r="D96" s="1" t="s">
        <v>181</v>
      </c>
      <c r="E96" s="2">
        <v>4688</v>
      </c>
      <c r="F96" s="1" t="s">
        <v>8</v>
      </c>
      <c r="G96" s="21"/>
    </row>
    <row r="97" spans="2:7" hidden="1" x14ac:dyDescent="0.35">
      <c r="B97" s="20" t="s">
        <v>5</v>
      </c>
      <c r="C97" s="1" t="s">
        <v>182</v>
      </c>
      <c r="D97" s="1" t="s">
        <v>183</v>
      </c>
      <c r="E97" s="2">
        <v>4711</v>
      </c>
      <c r="F97" s="1" t="s">
        <v>8</v>
      </c>
      <c r="G97" s="21"/>
    </row>
    <row r="98" spans="2:7" hidden="1" x14ac:dyDescent="0.35">
      <c r="B98" s="20" t="s">
        <v>5</v>
      </c>
      <c r="C98" s="1" t="s">
        <v>184</v>
      </c>
      <c r="D98" s="1" t="s">
        <v>185</v>
      </c>
      <c r="E98" s="2">
        <v>63</v>
      </c>
      <c r="F98" s="1" t="s">
        <v>8</v>
      </c>
      <c r="G98" s="21"/>
    </row>
    <row r="99" spans="2:7" hidden="1" x14ac:dyDescent="0.35">
      <c r="B99" s="20" t="s">
        <v>5</v>
      </c>
      <c r="C99" s="1" t="s">
        <v>186</v>
      </c>
      <c r="D99" s="1" t="s">
        <v>187</v>
      </c>
      <c r="E99" s="2">
        <v>63</v>
      </c>
      <c r="F99" s="1" t="s">
        <v>8</v>
      </c>
      <c r="G99" s="21"/>
    </row>
    <row r="100" spans="2:7" hidden="1" x14ac:dyDescent="0.35">
      <c r="B100" s="20" t="s">
        <v>5</v>
      </c>
      <c r="C100" s="1" t="s">
        <v>188</v>
      </c>
      <c r="D100" s="1" t="s">
        <v>189</v>
      </c>
      <c r="E100" s="2">
        <v>257</v>
      </c>
      <c r="F100" s="1" t="s">
        <v>8</v>
      </c>
      <c r="G100" s="21"/>
    </row>
    <row r="101" spans="2:7" hidden="1" x14ac:dyDescent="0.35">
      <c r="B101" s="20" t="s">
        <v>5</v>
      </c>
      <c r="C101" s="1" t="s">
        <v>190</v>
      </c>
      <c r="D101" s="1" t="s">
        <v>191</v>
      </c>
      <c r="E101" s="2">
        <v>4</v>
      </c>
      <c r="F101" s="1" t="s">
        <v>31</v>
      </c>
      <c r="G101" s="21"/>
    </row>
    <row r="102" spans="2:7" hidden="1" x14ac:dyDescent="0.35">
      <c r="B102" s="20" t="s">
        <v>5</v>
      </c>
      <c r="C102" s="1" t="s">
        <v>190</v>
      </c>
      <c r="D102" s="1" t="s">
        <v>191</v>
      </c>
      <c r="E102" s="2">
        <v>324</v>
      </c>
      <c r="F102" s="1" t="s">
        <v>8</v>
      </c>
      <c r="G102" s="21"/>
    </row>
    <row r="103" spans="2:7" hidden="1" x14ac:dyDescent="0.35">
      <c r="B103" s="20" t="s">
        <v>5</v>
      </c>
      <c r="C103" s="1" t="s">
        <v>192</v>
      </c>
      <c r="D103" s="1" t="s">
        <v>193</v>
      </c>
      <c r="E103" s="2">
        <v>1058</v>
      </c>
      <c r="F103" s="1" t="s">
        <v>8</v>
      </c>
      <c r="G103" s="21"/>
    </row>
    <row r="104" spans="2:7" hidden="1" x14ac:dyDescent="0.35">
      <c r="B104" s="20" t="s">
        <v>5</v>
      </c>
      <c r="C104" s="1" t="s">
        <v>194</v>
      </c>
      <c r="D104" s="1" t="s">
        <v>195</v>
      </c>
      <c r="E104" s="2">
        <v>996</v>
      </c>
      <c r="F104" s="1" t="s">
        <v>8</v>
      </c>
      <c r="G104" s="21"/>
    </row>
    <row r="105" spans="2:7" hidden="1" x14ac:dyDescent="0.35">
      <c r="B105" s="20" t="s">
        <v>5</v>
      </c>
      <c r="C105" s="1" t="s">
        <v>196</v>
      </c>
      <c r="D105" s="1" t="s">
        <v>197</v>
      </c>
      <c r="E105" s="2">
        <v>732</v>
      </c>
      <c r="F105" s="1" t="s">
        <v>8</v>
      </c>
      <c r="G105" s="21"/>
    </row>
    <row r="106" spans="2:7" hidden="1" x14ac:dyDescent="0.35">
      <c r="B106" s="20" t="s">
        <v>5</v>
      </c>
      <c r="C106" s="1" t="s">
        <v>198</v>
      </c>
      <c r="D106" s="1" t="s">
        <v>199</v>
      </c>
      <c r="E106" s="2">
        <v>714</v>
      </c>
      <c r="F106" s="1" t="s">
        <v>8</v>
      </c>
      <c r="G106" s="21"/>
    </row>
    <row r="107" spans="2:7" hidden="1" x14ac:dyDescent="0.35">
      <c r="B107" s="20" t="s">
        <v>5</v>
      </c>
      <c r="C107" s="1" t="s">
        <v>200</v>
      </c>
      <c r="D107" s="1" t="s">
        <v>201</v>
      </c>
      <c r="E107" s="2">
        <v>381</v>
      </c>
      <c r="F107" s="1" t="s">
        <v>8</v>
      </c>
      <c r="G107" s="21"/>
    </row>
    <row r="108" spans="2:7" hidden="1" x14ac:dyDescent="0.35">
      <c r="B108" s="20" t="s">
        <v>5</v>
      </c>
      <c r="C108" s="1" t="s">
        <v>202</v>
      </c>
      <c r="D108" s="1" t="s">
        <v>203</v>
      </c>
      <c r="E108" s="2">
        <v>408</v>
      </c>
      <c r="F108" s="1" t="s">
        <v>8</v>
      </c>
      <c r="G108" s="21"/>
    </row>
    <row r="109" spans="2:7" hidden="1" x14ac:dyDescent="0.35">
      <c r="B109" s="20" t="s">
        <v>5</v>
      </c>
      <c r="C109" s="1" t="s">
        <v>204</v>
      </c>
      <c r="D109" s="1" t="s">
        <v>205</v>
      </c>
      <c r="E109" s="2">
        <v>343</v>
      </c>
      <c r="F109" s="1" t="s">
        <v>8</v>
      </c>
      <c r="G109" s="21"/>
    </row>
    <row r="110" spans="2:7" hidden="1" x14ac:dyDescent="0.35">
      <c r="B110" s="20" t="s">
        <v>5</v>
      </c>
      <c r="C110" s="1" t="s">
        <v>206</v>
      </c>
      <c r="D110" s="1" t="s">
        <v>207</v>
      </c>
      <c r="E110" s="2">
        <v>1</v>
      </c>
      <c r="F110" s="1" t="s">
        <v>31</v>
      </c>
      <c r="G110" s="21"/>
    </row>
    <row r="111" spans="2:7" hidden="1" x14ac:dyDescent="0.35">
      <c r="B111" s="20" t="s">
        <v>5</v>
      </c>
      <c r="C111" s="1" t="s">
        <v>206</v>
      </c>
      <c r="D111" s="1" t="s">
        <v>207</v>
      </c>
      <c r="E111" s="2">
        <v>422</v>
      </c>
      <c r="F111" s="1" t="s">
        <v>8</v>
      </c>
      <c r="G111" s="21"/>
    </row>
    <row r="112" spans="2:7" hidden="1" x14ac:dyDescent="0.35">
      <c r="B112" s="20" t="s">
        <v>5</v>
      </c>
      <c r="C112" s="1" t="s">
        <v>208</v>
      </c>
      <c r="D112" s="1" t="s">
        <v>209</v>
      </c>
      <c r="E112" s="2">
        <v>32</v>
      </c>
      <c r="F112" s="1" t="s">
        <v>8</v>
      </c>
      <c r="G112" s="21"/>
    </row>
    <row r="113" spans="2:7" hidden="1" x14ac:dyDescent="0.35">
      <c r="B113" s="20" t="s">
        <v>5</v>
      </c>
      <c r="C113" s="1" t="s">
        <v>210</v>
      </c>
      <c r="D113" s="1" t="s">
        <v>211</v>
      </c>
      <c r="E113" s="2">
        <v>32</v>
      </c>
      <c r="F113" s="1" t="s">
        <v>8</v>
      </c>
      <c r="G113" s="21"/>
    </row>
    <row r="114" spans="2:7" hidden="1" x14ac:dyDescent="0.35">
      <c r="B114" s="20" t="s">
        <v>5</v>
      </c>
      <c r="C114" s="1" t="s">
        <v>212</v>
      </c>
      <c r="D114" s="1" t="s">
        <v>213</v>
      </c>
      <c r="E114" s="2">
        <v>23</v>
      </c>
      <c r="F114" s="1" t="s">
        <v>8</v>
      </c>
      <c r="G114" s="21"/>
    </row>
    <row r="115" spans="2:7" hidden="1" x14ac:dyDescent="0.35">
      <c r="B115" s="20" t="s">
        <v>5</v>
      </c>
      <c r="C115" s="1" t="s">
        <v>214</v>
      </c>
      <c r="D115" s="1" t="s">
        <v>215</v>
      </c>
      <c r="E115" s="2">
        <v>63</v>
      </c>
      <c r="F115" s="1" t="s">
        <v>8</v>
      </c>
      <c r="G115" s="21"/>
    </row>
    <row r="116" spans="2:7" hidden="1" x14ac:dyDescent="0.35">
      <c r="B116" s="20" t="s">
        <v>5</v>
      </c>
      <c r="C116" s="1" t="s">
        <v>216</v>
      </c>
      <c r="D116" s="1" t="s">
        <v>217</v>
      </c>
      <c r="E116" s="2">
        <v>32</v>
      </c>
      <c r="F116" s="1" t="s">
        <v>8</v>
      </c>
      <c r="G116" s="21"/>
    </row>
    <row r="117" spans="2:7" hidden="1" x14ac:dyDescent="0.35">
      <c r="B117" s="20" t="s">
        <v>5</v>
      </c>
      <c r="C117" s="1" t="s">
        <v>218</v>
      </c>
      <c r="D117" s="1" t="s">
        <v>219</v>
      </c>
      <c r="E117" s="2">
        <v>20</v>
      </c>
      <c r="F117" s="1" t="s">
        <v>8</v>
      </c>
      <c r="G117" s="21"/>
    </row>
    <row r="118" spans="2:7" hidden="1" x14ac:dyDescent="0.35">
      <c r="B118" s="20" t="s">
        <v>5</v>
      </c>
      <c r="C118" s="1" t="s">
        <v>220</v>
      </c>
      <c r="D118" s="1" t="s">
        <v>221</v>
      </c>
      <c r="E118" s="2">
        <v>63</v>
      </c>
      <c r="F118" s="1" t="s">
        <v>8</v>
      </c>
      <c r="G118" s="21"/>
    </row>
    <row r="119" spans="2:7" hidden="1" x14ac:dyDescent="0.35">
      <c r="B119" s="20" t="s">
        <v>5</v>
      </c>
      <c r="C119" s="1" t="s">
        <v>222</v>
      </c>
      <c r="D119" s="1" t="s">
        <v>223</v>
      </c>
      <c r="E119" s="2">
        <v>32</v>
      </c>
      <c r="F119" s="1" t="s">
        <v>8</v>
      </c>
      <c r="G119" s="21"/>
    </row>
    <row r="120" spans="2:7" hidden="1" x14ac:dyDescent="0.35">
      <c r="B120" s="20" t="s">
        <v>5</v>
      </c>
      <c r="C120" s="1" t="s">
        <v>224</v>
      </c>
      <c r="D120" s="1" t="s">
        <v>225</v>
      </c>
      <c r="E120" s="2">
        <v>2366</v>
      </c>
      <c r="F120" s="1" t="s">
        <v>8</v>
      </c>
      <c r="G120" s="21"/>
    </row>
    <row r="121" spans="2:7" hidden="1" x14ac:dyDescent="0.35">
      <c r="B121" s="20" t="s">
        <v>5</v>
      </c>
      <c r="C121" s="1" t="s">
        <v>226</v>
      </c>
      <c r="D121" s="1" t="s">
        <v>227</v>
      </c>
      <c r="E121" s="2">
        <v>2425</v>
      </c>
      <c r="F121" s="1" t="s">
        <v>8</v>
      </c>
      <c r="G121" s="21"/>
    </row>
    <row r="122" spans="2:7" hidden="1" x14ac:dyDescent="0.35">
      <c r="B122" s="20" t="s">
        <v>5</v>
      </c>
      <c r="C122" s="1" t="s">
        <v>228</v>
      </c>
      <c r="D122" s="1" t="s">
        <v>229</v>
      </c>
      <c r="E122" s="2">
        <v>5455</v>
      </c>
      <c r="F122" s="1" t="s">
        <v>8</v>
      </c>
      <c r="G122" s="21"/>
    </row>
    <row r="123" spans="2:7" hidden="1" x14ac:dyDescent="0.35">
      <c r="B123" s="20" t="s">
        <v>5</v>
      </c>
      <c r="C123" s="1" t="s">
        <v>230</v>
      </c>
      <c r="D123" s="1" t="s">
        <v>231</v>
      </c>
      <c r="E123" s="2">
        <v>5164</v>
      </c>
      <c r="F123" s="1" t="s">
        <v>8</v>
      </c>
      <c r="G123" s="21"/>
    </row>
    <row r="124" spans="2:7" hidden="1" x14ac:dyDescent="0.35">
      <c r="B124" s="20" t="s">
        <v>5</v>
      </c>
      <c r="C124" s="1" t="s">
        <v>232</v>
      </c>
      <c r="D124" s="1" t="s">
        <v>233</v>
      </c>
      <c r="E124" s="2">
        <v>772</v>
      </c>
      <c r="F124" s="1" t="s">
        <v>8</v>
      </c>
      <c r="G124" s="21"/>
    </row>
    <row r="125" spans="2:7" hidden="1" x14ac:dyDescent="0.35">
      <c r="B125" s="20" t="s">
        <v>5</v>
      </c>
      <c r="C125" s="1" t="s">
        <v>234</v>
      </c>
      <c r="D125" s="1" t="s">
        <v>235</v>
      </c>
      <c r="E125" s="2">
        <v>507</v>
      </c>
      <c r="F125" s="1" t="s">
        <v>8</v>
      </c>
      <c r="G125" s="21"/>
    </row>
    <row r="126" spans="2:7" hidden="1" x14ac:dyDescent="0.35">
      <c r="B126" s="20" t="s">
        <v>5</v>
      </c>
      <c r="C126" s="1" t="s">
        <v>236</v>
      </c>
      <c r="D126" s="1" t="s">
        <v>237</v>
      </c>
      <c r="E126" s="2">
        <v>962</v>
      </c>
      <c r="F126" s="1" t="s">
        <v>8</v>
      </c>
      <c r="G126" s="21"/>
    </row>
    <row r="127" spans="2:7" hidden="1" x14ac:dyDescent="0.35">
      <c r="B127" s="20" t="s">
        <v>5</v>
      </c>
      <c r="C127" s="1" t="s">
        <v>238</v>
      </c>
      <c r="D127" s="1" t="s">
        <v>239</v>
      </c>
      <c r="E127" s="2">
        <v>1377</v>
      </c>
      <c r="F127" s="1" t="s">
        <v>8</v>
      </c>
      <c r="G127" s="21"/>
    </row>
    <row r="128" spans="2:7" hidden="1" x14ac:dyDescent="0.35">
      <c r="B128" s="20" t="s">
        <v>5</v>
      </c>
      <c r="C128" s="1" t="s">
        <v>240</v>
      </c>
      <c r="D128" s="1" t="s">
        <v>241</v>
      </c>
      <c r="E128" s="2">
        <v>868</v>
      </c>
      <c r="F128" s="1" t="s">
        <v>8</v>
      </c>
      <c r="G128" s="21"/>
    </row>
    <row r="129" spans="2:7" hidden="1" x14ac:dyDescent="0.35">
      <c r="B129" s="20" t="s">
        <v>5</v>
      </c>
      <c r="C129" s="1" t="s">
        <v>242</v>
      </c>
      <c r="D129" s="1" t="s">
        <v>243</v>
      </c>
      <c r="E129" s="2">
        <v>563</v>
      </c>
      <c r="F129" s="1" t="s">
        <v>8</v>
      </c>
      <c r="G129" s="21"/>
    </row>
    <row r="130" spans="2:7" hidden="1" x14ac:dyDescent="0.35">
      <c r="B130" s="20" t="s">
        <v>5</v>
      </c>
      <c r="C130" s="1" t="s">
        <v>244</v>
      </c>
      <c r="D130" s="1" t="s">
        <v>245</v>
      </c>
      <c r="E130" s="2">
        <v>415</v>
      </c>
      <c r="F130" s="1" t="s">
        <v>8</v>
      </c>
      <c r="G130" s="21"/>
    </row>
    <row r="131" spans="2:7" hidden="1" x14ac:dyDescent="0.35">
      <c r="B131" s="20" t="s">
        <v>5</v>
      </c>
      <c r="C131" s="1" t="s">
        <v>246</v>
      </c>
      <c r="D131" s="1" t="s">
        <v>247</v>
      </c>
      <c r="E131" s="2">
        <v>317</v>
      </c>
      <c r="F131" s="1" t="s">
        <v>8</v>
      </c>
      <c r="G131" s="21"/>
    </row>
    <row r="132" spans="2:7" hidden="1" x14ac:dyDescent="0.35">
      <c r="B132" s="20" t="s">
        <v>5</v>
      </c>
      <c r="C132" s="1" t="s">
        <v>248</v>
      </c>
      <c r="D132" s="1" t="s">
        <v>249</v>
      </c>
      <c r="E132" s="2">
        <v>384</v>
      </c>
      <c r="F132" s="1" t="s">
        <v>8</v>
      </c>
      <c r="G132" s="21"/>
    </row>
    <row r="133" spans="2:7" hidden="1" x14ac:dyDescent="0.35">
      <c r="B133" s="20" t="s">
        <v>5</v>
      </c>
      <c r="C133" s="1" t="s">
        <v>250</v>
      </c>
      <c r="D133" s="1" t="s">
        <v>251</v>
      </c>
      <c r="E133" s="2">
        <v>310</v>
      </c>
      <c r="F133" s="1" t="s">
        <v>8</v>
      </c>
      <c r="G133" s="21"/>
    </row>
    <row r="134" spans="2:7" hidden="1" x14ac:dyDescent="0.35">
      <c r="B134" s="20" t="s">
        <v>5</v>
      </c>
      <c r="C134" s="1" t="s">
        <v>252</v>
      </c>
      <c r="D134" s="1" t="s">
        <v>253</v>
      </c>
      <c r="E134" s="2">
        <v>426</v>
      </c>
      <c r="F134" s="1" t="s">
        <v>8</v>
      </c>
      <c r="G134" s="21"/>
    </row>
    <row r="135" spans="2:7" hidden="1" x14ac:dyDescent="0.35">
      <c r="B135" s="20" t="s">
        <v>5</v>
      </c>
      <c r="C135" s="1" t="s">
        <v>254</v>
      </c>
      <c r="D135" s="1" t="s">
        <v>255</v>
      </c>
      <c r="E135" s="2">
        <v>166</v>
      </c>
      <c r="F135" s="1" t="s">
        <v>8</v>
      </c>
      <c r="G135" s="21"/>
    </row>
    <row r="136" spans="2:7" hidden="1" x14ac:dyDescent="0.35">
      <c r="B136" s="20" t="s">
        <v>5</v>
      </c>
      <c r="C136" s="1" t="s">
        <v>256</v>
      </c>
      <c r="D136" s="1" t="s">
        <v>257</v>
      </c>
      <c r="E136" s="2">
        <v>666</v>
      </c>
      <c r="F136" s="1" t="s">
        <v>8</v>
      </c>
      <c r="G136" s="21"/>
    </row>
    <row r="137" spans="2:7" hidden="1" x14ac:dyDescent="0.35">
      <c r="B137" s="20" t="s">
        <v>5</v>
      </c>
      <c r="C137" s="1" t="s">
        <v>258</v>
      </c>
      <c r="D137" s="1" t="s">
        <v>259</v>
      </c>
      <c r="E137" s="2">
        <v>2700</v>
      </c>
      <c r="F137" s="1" t="s">
        <v>8</v>
      </c>
      <c r="G137" s="21"/>
    </row>
    <row r="138" spans="2:7" hidden="1" x14ac:dyDescent="0.35">
      <c r="B138" s="20" t="s">
        <v>5</v>
      </c>
      <c r="C138" s="1" t="s">
        <v>260</v>
      </c>
      <c r="D138" s="1" t="s">
        <v>261</v>
      </c>
      <c r="E138" s="2">
        <v>1706</v>
      </c>
      <c r="F138" s="1" t="s">
        <v>8</v>
      </c>
      <c r="G138" s="21"/>
    </row>
    <row r="139" spans="2:7" hidden="1" x14ac:dyDescent="0.35">
      <c r="B139" s="20" t="s">
        <v>5</v>
      </c>
      <c r="C139" s="1" t="s">
        <v>262</v>
      </c>
      <c r="D139" s="1" t="s">
        <v>263</v>
      </c>
      <c r="E139" s="2">
        <v>22</v>
      </c>
      <c r="F139" s="1" t="s">
        <v>8</v>
      </c>
      <c r="G139" s="21"/>
    </row>
    <row r="140" spans="2:7" hidden="1" x14ac:dyDescent="0.35">
      <c r="B140" s="20" t="s">
        <v>5</v>
      </c>
      <c r="C140" s="1" t="s">
        <v>264</v>
      </c>
      <c r="D140" s="1" t="s">
        <v>265</v>
      </c>
      <c r="E140" s="2">
        <v>40</v>
      </c>
      <c r="F140" s="1" t="s">
        <v>8</v>
      </c>
      <c r="G140" s="21"/>
    </row>
    <row r="141" spans="2:7" hidden="1" x14ac:dyDescent="0.35">
      <c r="B141" s="20" t="s">
        <v>5</v>
      </c>
      <c r="C141" s="1" t="s">
        <v>266</v>
      </c>
      <c r="D141" s="1" t="s">
        <v>267</v>
      </c>
      <c r="E141" s="2">
        <v>16</v>
      </c>
      <c r="F141" s="1" t="s">
        <v>8</v>
      </c>
      <c r="G141" s="21"/>
    </row>
    <row r="142" spans="2:7" hidden="1" x14ac:dyDescent="0.35">
      <c r="B142" s="20" t="s">
        <v>5</v>
      </c>
      <c r="C142" s="1" t="s">
        <v>268</v>
      </c>
      <c r="D142" s="1" t="s">
        <v>269</v>
      </c>
      <c r="E142" s="2">
        <v>629</v>
      </c>
      <c r="F142" s="1" t="s">
        <v>8</v>
      </c>
      <c r="G142" s="21"/>
    </row>
    <row r="143" spans="2:7" hidden="1" x14ac:dyDescent="0.35">
      <c r="B143" s="20" t="s">
        <v>5</v>
      </c>
      <c r="C143" s="1" t="s">
        <v>270</v>
      </c>
      <c r="D143" s="1" t="s">
        <v>271</v>
      </c>
      <c r="E143" s="2">
        <v>269</v>
      </c>
      <c r="F143" s="1" t="s">
        <v>8</v>
      </c>
      <c r="G143" s="21"/>
    </row>
    <row r="144" spans="2:7" hidden="1" x14ac:dyDescent="0.35">
      <c r="B144" s="20" t="s">
        <v>5</v>
      </c>
      <c r="C144" s="1" t="s">
        <v>272</v>
      </c>
      <c r="D144" s="1" t="s">
        <v>273</v>
      </c>
      <c r="E144" s="2">
        <v>645</v>
      </c>
      <c r="F144" s="1" t="s">
        <v>8</v>
      </c>
      <c r="G144" s="21"/>
    </row>
    <row r="145" spans="2:7" hidden="1" x14ac:dyDescent="0.35">
      <c r="B145" s="20" t="s">
        <v>5</v>
      </c>
      <c r="C145" s="1" t="s">
        <v>274</v>
      </c>
      <c r="D145" s="1" t="s">
        <v>275</v>
      </c>
      <c r="E145" s="2">
        <v>2237</v>
      </c>
      <c r="F145" s="1" t="s">
        <v>8</v>
      </c>
      <c r="G145" s="21"/>
    </row>
    <row r="146" spans="2:7" hidden="1" x14ac:dyDescent="0.35">
      <c r="B146" s="20" t="s">
        <v>5</v>
      </c>
      <c r="C146" s="1" t="s">
        <v>276</v>
      </c>
      <c r="D146" s="1" t="s">
        <v>277</v>
      </c>
      <c r="E146" s="2">
        <v>15</v>
      </c>
      <c r="F146" s="1" t="s">
        <v>8</v>
      </c>
      <c r="G146" s="21"/>
    </row>
    <row r="147" spans="2:7" hidden="1" x14ac:dyDescent="0.35">
      <c r="B147" s="20" t="s">
        <v>5</v>
      </c>
      <c r="C147" s="1" t="s">
        <v>278</v>
      </c>
      <c r="D147" s="1" t="s">
        <v>279</v>
      </c>
      <c r="E147" s="2">
        <v>3219</v>
      </c>
      <c r="F147" s="1" t="s">
        <v>8</v>
      </c>
      <c r="G147" s="21"/>
    </row>
    <row r="148" spans="2:7" hidden="1" x14ac:dyDescent="0.35">
      <c r="B148" s="20" t="s">
        <v>5</v>
      </c>
      <c r="C148" s="1" t="s">
        <v>280</v>
      </c>
      <c r="D148" s="1" t="s">
        <v>281</v>
      </c>
      <c r="E148" s="2">
        <v>3170</v>
      </c>
      <c r="F148" s="1" t="s">
        <v>8</v>
      </c>
      <c r="G148" s="21"/>
    </row>
    <row r="149" spans="2:7" hidden="1" x14ac:dyDescent="0.35">
      <c r="B149" s="20" t="s">
        <v>5</v>
      </c>
      <c r="C149" s="1" t="s">
        <v>282</v>
      </c>
      <c r="D149" s="1" t="s">
        <v>283</v>
      </c>
      <c r="E149" s="2">
        <v>190</v>
      </c>
      <c r="F149" s="1" t="s">
        <v>8</v>
      </c>
      <c r="G149" s="21"/>
    </row>
    <row r="150" spans="2:7" hidden="1" x14ac:dyDescent="0.35">
      <c r="B150" s="20" t="s">
        <v>5</v>
      </c>
      <c r="C150" s="1" t="s">
        <v>284</v>
      </c>
      <c r="D150" s="1" t="s">
        <v>285</v>
      </c>
      <c r="E150" s="2">
        <v>3539</v>
      </c>
      <c r="F150" s="1" t="s">
        <v>8</v>
      </c>
      <c r="G150" s="21"/>
    </row>
    <row r="151" spans="2:7" hidden="1" x14ac:dyDescent="0.35">
      <c r="B151" s="20" t="s">
        <v>5</v>
      </c>
      <c r="C151" s="1" t="s">
        <v>286</v>
      </c>
      <c r="D151" s="1" t="s">
        <v>287</v>
      </c>
      <c r="E151" s="2">
        <v>60</v>
      </c>
      <c r="F151" s="1" t="s">
        <v>8</v>
      </c>
      <c r="G151" s="21"/>
    </row>
    <row r="152" spans="2:7" hidden="1" x14ac:dyDescent="0.35">
      <c r="B152" s="20" t="s">
        <v>5</v>
      </c>
      <c r="C152" s="1" t="s">
        <v>288</v>
      </c>
      <c r="D152" s="1" t="s">
        <v>289</v>
      </c>
      <c r="E152" s="2">
        <v>3506</v>
      </c>
      <c r="F152" s="1" t="s">
        <v>8</v>
      </c>
      <c r="G152" s="21"/>
    </row>
    <row r="153" spans="2:7" hidden="1" x14ac:dyDescent="0.35">
      <c r="B153" s="20" t="s">
        <v>5</v>
      </c>
      <c r="C153" s="1" t="s">
        <v>290</v>
      </c>
      <c r="D153" s="1" t="s">
        <v>291</v>
      </c>
      <c r="E153" s="2">
        <v>3206</v>
      </c>
      <c r="F153" s="1" t="s">
        <v>8</v>
      </c>
      <c r="G153" s="21"/>
    </row>
    <row r="154" spans="2:7" hidden="1" x14ac:dyDescent="0.35">
      <c r="B154" s="20" t="s">
        <v>5</v>
      </c>
      <c r="C154" s="1" t="s">
        <v>292</v>
      </c>
      <c r="D154" s="1" t="s">
        <v>293</v>
      </c>
      <c r="E154" s="2">
        <v>120</v>
      </c>
      <c r="F154" s="1" t="s">
        <v>8</v>
      </c>
      <c r="G154" s="21"/>
    </row>
    <row r="155" spans="2:7" hidden="1" x14ac:dyDescent="0.35">
      <c r="B155" s="20" t="s">
        <v>5</v>
      </c>
      <c r="C155" s="1" t="s">
        <v>294</v>
      </c>
      <c r="D155" s="1" t="s">
        <v>295</v>
      </c>
      <c r="E155" s="2">
        <v>6489</v>
      </c>
      <c r="F155" s="1" t="s">
        <v>8</v>
      </c>
      <c r="G155" s="21"/>
    </row>
    <row r="156" spans="2:7" hidden="1" x14ac:dyDescent="0.35">
      <c r="B156" s="20" t="s">
        <v>5</v>
      </c>
      <c r="C156" s="1" t="s">
        <v>296</v>
      </c>
      <c r="D156" s="1" t="s">
        <v>297</v>
      </c>
      <c r="E156" s="2">
        <v>60</v>
      </c>
      <c r="F156" s="1" t="s">
        <v>8</v>
      </c>
      <c r="G156" s="21"/>
    </row>
    <row r="157" spans="2:7" hidden="1" x14ac:dyDescent="0.35">
      <c r="B157" s="20" t="s">
        <v>5</v>
      </c>
      <c r="C157" s="1" t="s">
        <v>298</v>
      </c>
      <c r="D157" s="1" t="s">
        <v>299</v>
      </c>
      <c r="E157" s="2">
        <v>248</v>
      </c>
      <c r="F157" s="1" t="s">
        <v>8</v>
      </c>
      <c r="G157" s="21"/>
    </row>
    <row r="158" spans="2:7" hidden="1" x14ac:dyDescent="0.35">
      <c r="B158" s="20" t="s">
        <v>5</v>
      </c>
      <c r="C158" s="1" t="s">
        <v>300</v>
      </c>
      <c r="D158" s="1" t="s">
        <v>301</v>
      </c>
      <c r="E158" s="2">
        <v>336</v>
      </c>
      <c r="F158" s="1" t="s">
        <v>8</v>
      </c>
      <c r="G158" s="21"/>
    </row>
    <row r="159" spans="2:7" hidden="1" x14ac:dyDescent="0.35">
      <c r="B159" s="20" t="s">
        <v>5</v>
      </c>
      <c r="C159" s="1" t="s">
        <v>302</v>
      </c>
      <c r="D159" s="1" t="s">
        <v>303</v>
      </c>
      <c r="E159" s="2">
        <v>935</v>
      </c>
      <c r="F159" s="1" t="s">
        <v>8</v>
      </c>
      <c r="G159" s="21"/>
    </row>
    <row r="160" spans="2:7" hidden="1" x14ac:dyDescent="0.35">
      <c r="B160" s="20" t="s">
        <v>5</v>
      </c>
      <c r="C160" s="1" t="s">
        <v>304</v>
      </c>
      <c r="D160" s="1" t="s">
        <v>305</v>
      </c>
      <c r="E160" s="2">
        <v>1640</v>
      </c>
      <c r="F160" s="1" t="s">
        <v>8</v>
      </c>
      <c r="G160" s="21"/>
    </row>
    <row r="161" spans="2:7" hidden="1" x14ac:dyDescent="0.35">
      <c r="B161" s="20" t="s">
        <v>5</v>
      </c>
      <c r="C161" s="1" t="s">
        <v>306</v>
      </c>
      <c r="D161" s="1" t="s">
        <v>307</v>
      </c>
      <c r="E161" s="2">
        <v>2428</v>
      </c>
      <c r="F161" s="1" t="s">
        <v>8</v>
      </c>
      <c r="G161" s="21"/>
    </row>
    <row r="162" spans="2:7" hidden="1" x14ac:dyDescent="0.35">
      <c r="B162" s="20" t="s">
        <v>5</v>
      </c>
      <c r="C162" s="1" t="s">
        <v>308</v>
      </c>
      <c r="D162" s="1" t="s">
        <v>309</v>
      </c>
      <c r="E162" s="2">
        <v>8933</v>
      </c>
      <c r="F162" s="1" t="s">
        <v>8</v>
      </c>
      <c r="G162" s="21"/>
    </row>
    <row r="163" spans="2:7" hidden="1" x14ac:dyDescent="0.35">
      <c r="B163" s="20" t="s">
        <v>5</v>
      </c>
      <c r="C163" s="1" t="s">
        <v>310</v>
      </c>
      <c r="D163" s="1" t="s">
        <v>311</v>
      </c>
      <c r="E163" s="2">
        <v>1723</v>
      </c>
      <c r="F163" s="1" t="s">
        <v>8</v>
      </c>
      <c r="G163" s="21"/>
    </row>
    <row r="164" spans="2:7" hidden="1" x14ac:dyDescent="0.35">
      <c r="B164" s="20" t="s">
        <v>5</v>
      </c>
      <c r="C164" s="1" t="s">
        <v>312</v>
      </c>
      <c r="D164" s="1" t="s">
        <v>313</v>
      </c>
      <c r="E164" s="2">
        <v>255</v>
      </c>
      <c r="F164" s="1" t="s">
        <v>8</v>
      </c>
      <c r="G164" s="21"/>
    </row>
    <row r="165" spans="2:7" hidden="1" x14ac:dyDescent="0.35">
      <c r="B165" s="20" t="s">
        <v>5</v>
      </c>
      <c r="C165" s="1" t="s">
        <v>314</v>
      </c>
      <c r="D165" s="1" t="s">
        <v>315</v>
      </c>
      <c r="E165" s="2">
        <v>795</v>
      </c>
      <c r="F165" s="1" t="s">
        <v>8</v>
      </c>
      <c r="G165" s="21"/>
    </row>
    <row r="166" spans="2:7" hidden="1" x14ac:dyDescent="0.35">
      <c r="B166" s="20" t="s">
        <v>5</v>
      </c>
      <c r="C166" s="1" t="s">
        <v>316</v>
      </c>
      <c r="D166" s="1" t="s">
        <v>317</v>
      </c>
      <c r="E166" s="2">
        <v>497</v>
      </c>
      <c r="F166" s="1" t="s">
        <v>8</v>
      </c>
      <c r="G166" s="21"/>
    </row>
    <row r="167" spans="2:7" hidden="1" x14ac:dyDescent="0.35">
      <c r="B167" s="20" t="s">
        <v>5</v>
      </c>
      <c r="C167" s="1" t="s">
        <v>318</v>
      </c>
      <c r="D167" s="1" t="s">
        <v>319</v>
      </c>
      <c r="E167" s="2">
        <v>641</v>
      </c>
      <c r="F167" s="1" t="s">
        <v>8</v>
      </c>
      <c r="G167" s="21"/>
    </row>
    <row r="168" spans="2:7" hidden="1" x14ac:dyDescent="0.35">
      <c r="B168" s="20" t="s">
        <v>5</v>
      </c>
      <c r="C168" s="1" t="s">
        <v>320</v>
      </c>
      <c r="D168" s="1" t="s">
        <v>321</v>
      </c>
      <c r="E168" s="2">
        <v>126</v>
      </c>
      <c r="F168" s="1" t="s">
        <v>8</v>
      </c>
      <c r="G168" s="21"/>
    </row>
    <row r="169" spans="2:7" hidden="1" x14ac:dyDescent="0.35">
      <c r="B169" s="20" t="s">
        <v>5</v>
      </c>
      <c r="C169" s="1" t="s">
        <v>322</v>
      </c>
      <c r="D169" s="1" t="s">
        <v>323</v>
      </c>
      <c r="E169" s="2">
        <v>63</v>
      </c>
      <c r="F169" s="1" t="s">
        <v>8</v>
      </c>
      <c r="G169" s="21"/>
    </row>
    <row r="170" spans="2:7" x14ac:dyDescent="0.35">
      <c r="B170" s="20" t="s">
        <v>5</v>
      </c>
      <c r="C170" s="1" t="s">
        <v>324</v>
      </c>
      <c r="D170" s="1" t="s">
        <v>325</v>
      </c>
      <c r="E170" s="2">
        <v>35</v>
      </c>
      <c r="F170" s="1" t="s">
        <v>8</v>
      </c>
      <c r="G170" s="21"/>
    </row>
    <row r="171" spans="2:7" x14ac:dyDescent="0.35">
      <c r="B171" s="20" t="s">
        <v>5</v>
      </c>
      <c r="C171" s="1" t="s">
        <v>326</v>
      </c>
      <c r="D171" s="1" t="s">
        <v>327</v>
      </c>
      <c r="E171" s="2">
        <v>70</v>
      </c>
      <c r="F171" s="1" t="s">
        <v>8</v>
      </c>
      <c r="G171" s="21"/>
    </row>
    <row r="172" spans="2:7" x14ac:dyDescent="0.35">
      <c r="B172" s="20" t="s">
        <v>5</v>
      </c>
      <c r="C172" s="1" t="s">
        <v>328</v>
      </c>
      <c r="D172" s="1" t="s">
        <v>329</v>
      </c>
      <c r="E172" s="2">
        <v>51</v>
      </c>
      <c r="F172" s="1" t="s">
        <v>8</v>
      </c>
      <c r="G172" s="21"/>
    </row>
    <row r="173" spans="2:7" x14ac:dyDescent="0.35">
      <c r="B173" s="20" t="s">
        <v>5</v>
      </c>
      <c r="C173" s="1" t="s">
        <v>330</v>
      </c>
      <c r="D173" s="1" t="s">
        <v>331</v>
      </c>
      <c r="E173" s="2">
        <v>20</v>
      </c>
      <c r="F173" s="1" t="s">
        <v>8</v>
      </c>
      <c r="G173" s="21"/>
    </row>
    <row r="174" spans="2:7" x14ac:dyDescent="0.35">
      <c r="B174" s="20" t="s">
        <v>5</v>
      </c>
      <c r="C174" s="1" t="s">
        <v>332</v>
      </c>
      <c r="D174" s="1" t="s">
        <v>333</v>
      </c>
      <c r="E174" s="2">
        <v>4528</v>
      </c>
      <c r="F174" s="1" t="s">
        <v>8</v>
      </c>
      <c r="G174" s="21"/>
    </row>
    <row r="175" spans="2:7" x14ac:dyDescent="0.35">
      <c r="B175" s="20" t="s">
        <v>5</v>
      </c>
      <c r="C175" s="1" t="s">
        <v>334</v>
      </c>
      <c r="D175" s="1" t="s">
        <v>335</v>
      </c>
      <c r="E175" s="2">
        <v>909</v>
      </c>
      <c r="F175" s="1" t="s">
        <v>8</v>
      </c>
      <c r="G175" s="21"/>
    </row>
    <row r="176" spans="2:7" x14ac:dyDescent="0.35">
      <c r="B176" s="20" t="s">
        <v>5</v>
      </c>
      <c r="C176" s="1" t="s">
        <v>336</v>
      </c>
      <c r="D176" s="1" t="s">
        <v>337</v>
      </c>
      <c r="E176" s="2">
        <v>2700</v>
      </c>
      <c r="F176" s="1" t="s">
        <v>8</v>
      </c>
      <c r="G176" s="21"/>
    </row>
    <row r="177" spans="2:7" x14ac:dyDescent="0.35">
      <c r="B177" s="20" t="s">
        <v>5</v>
      </c>
      <c r="C177" s="1" t="s">
        <v>338</v>
      </c>
      <c r="D177" s="1" t="s">
        <v>339</v>
      </c>
      <c r="E177" s="2">
        <v>2478</v>
      </c>
      <c r="F177" s="1" t="s">
        <v>8</v>
      </c>
      <c r="G177" s="21"/>
    </row>
    <row r="178" spans="2:7" x14ac:dyDescent="0.35">
      <c r="B178" s="20" t="s">
        <v>5</v>
      </c>
      <c r="C178" s="1" t="s">
        <v>340</v>
      </c>
      <c r="D178" s="1" t="s">
        <v>341</v>
      </c>
      <c r="E178" s="2">
        <v>2631</v>
      </c>
      <c r="F178" s="1" t="s">
        <v>8</v>
      </c>
      <c r="G178" s="21"/>
    </row>
    <row r="179" spans="2:7" x14ac:dyDescent="0.35">
      <c r="B179" s="20" t="s">
        <v>5</v>
      </c>
      <c r="C179" s="1" t="s">
        <v>342</v>
      </c>
      <c r="D179" s="1" t="s">
        <v>343</v>
      </c>
      <c r="E179" s="2">
        <v>3100</v>
      </c>
      <c r="F179" s="1" t="s">
        <v>8</v>
      </c>
      <c r="G179" s="21"/>
    </row>
    <row r="180" spans="2:7" x14ac:dyDescent="0.35">
      <c r="B180" s="20" t="s">
        <v>5</v>
      </c>
      <c r="C180" s="1" t="s">
        <v>344</v>
      </c>
      <c r="D180" s="1" t="s">
        <v>345</v>
      </c>
      <c r="E180" s="2">
        <v>1356</v>
      </c>
      <c r="F180" s="1" t="s">
        <v>8</v>
      </c>
      <c r="G180" s="21"/>
    </row>
    <row r="181" spans="2:7" x14ac:dyDescent="0.35">
      <c r="B181" s="20" t="s">
        <v>5</v>
      </c>
      <c r="C181" s="1" t="s">
        <v>346</v>
      </c>
      <c r="D181" s="1" t="s">
        <v>347</v>
      </c>
      <c r="E181" s="2">
        <v>4850</v>
      </c>
      <c r="F181" s="1" t="s">
        <v>8</v>
      </c>
      <c r="G181" s="21"/>
    </row>
    <row r="182" spans="2:7" x14ac:dyDescent="0.35">
      <c r="B182" s="20" t="s">
        <v>5</v>
      </c>
      <c r="C182" s="1" t="s">
        <v>348</v>
      </c>
      <c r="D182" s="1" t="s">
        <v>349</v>
      </c>
      <c r="E182" s="2">
        <v>7509</v>
      </c>
      <c r="F182" s="1" t="s">
        <v>8</v>
      </c>
      <c r="G182" s="21"/>
    </row>
    <row r="183" spans="2:7" x14ac:dyDescent="0.35">
      <c r="B183" s="20" t="s">
        <v>5</v>
      </c>
      <c r="C183" s="1" t="s">
        <v>350</v>
      </c>
      <c r="D183" s="1" t="s">
        <v>351</v>
      </c>
      <c r="E183" s="2">
        <v>720</v>
      </c>
      <c r="F183" s="1" t="s">
        <v>8</v>
      </c>
      <c r="G183" s="21"/>
    </row>
    <row r="184" spans="2:7" hidden="1" x14ac:dyDescent="0.35">
      <c r="B184" s="20" t="s">
        <v>5</v>
      </c>
      <c r="C184" s="1" t="s">
        <v>352</v>
      </c>
      <c r="D184" s="1" t="s">
        <v>353</v>
      </c>
      <c r="E184" s="2">
        <v>51</v>
      </c>
      <c r="F184" s="1" t="s">
        <v>8</v>
      </c>
      <c r="G184" s="21"/>
    </row>
    <row r="185" spans="2:7" hidden="1" x14ac:dyDescent="0.35">
      <c r="B185" s="20" t="s">
        <v>5</v>
      </c>
      <c r="C185" s="1" t="s">
        <v>354</v>
      </c>
      <c r="D185" s="1" t="s">
        <v>355</v>
      </c>
      <c r="E185" s="2">
        <v>100</v>
      </c>
      <c r="F185" s="1" t="s">
        <v>8</v>
      </c>
      <c r="G185" s="21"/>
    </row>
    <row r="186" spans="2:7" hidden="1" x14ac:dyDescent="0.35">
      <c r="B186" s="20" t="s">
        <v>5</v>
      </c>
      <c r="C186" s="1" t="s">
        <v>356</v>
      </c>
      <c r="D186" s="1" t="s">
        <v>357</v>
      </c>
      <c r="E186" s="2">
        <v>1570</v>
      </c>
      <c r="F186" s="1" t="s">
        <v>8</v>
      </c>
      <c r="G186" s="21"/>
    </row>
    <row r="187" spans="2:7" hidden="1" x14ac:dyDescent="0.35">
      <c r="B187" s="20" t="s">
        <v>5</v>
      </c>
      <c r="C187" s="1" t="s">
        <v>358</v>
      </c>
      <c r="D187" s="1" t="s">
        <v>359</v>
      </c>
      <c r="E187" s="2">
        <v>8799</v>
      </c>
      <c r="F187" s="1" t="s">
        <v>8</v>
      </c>
      <c r="G187" s="21"/>
    </row>
    <row r="188" spans="2:7" hidden="1" x14ac:dyDescent="0.35">
      <c r="B188" s="20" t="s">
        <v>5</v>
      </c>
      <c r="C188" s="1" t="s">
        <v>360</v>
      </c>
      <c r="D188" s="1" t="s">
        <v>361</v>
      </c>
      <c r="E188" s="2">
        <v>11509</v>
      </c>
      <c r="F188" s="1" t="s">
        <v>8</v>
      </c>
      <c r="G188" s="21"/>
    </row>
    <row r="189" spans="2:7" hidden="1" x14ac:dyDescent="0.35">
      <c r="B189" s="20" t="s">
        <v>5</v>
      </c>
      <c r="C189" s="1" t="s">
        <v>362</v>
      </c>
      <c r="D189" s="1" t="s">
        <v>363</v>
      </c>
      <c r="E189" s="2">
        <v>15850</v>
      </c>
      <c r="F189" s="1" t="s">
        <v>8</v>
      </c>
      <c r="G189" s="21"/>
    </row>
    <row r="190" spans="2:7" hidden="1" x14ac:dyDescent="0.35">
      <c r="B190" s="20" t="s">
        <v>5</v>
      </c>
      <c r="C190" s="1" t="s">
        <v>364</v>
      </c>
      <c r="D190" s="1" t="s">
        <v>365</v>
      </c>
      <c r="E190" s="2">
        <v>14070</v>
      </c>
      <c r="F190" s="1" t="s">
        <v>8</v>
      </c>
      <c r="G190" s="21"/>
    </row>
    <row r="191" spans="2:7" hidden="1" x14ac:dyDescent="0.35">
      <c r="B191" s="20" t="s">
        <v>5</v>
      </c>
      <c r="C191" s="1" t="s">
        <v>366</v>
      </c>
      <c r="D191" s="1" t="s">
        <v>367</v>
      </c>
      <c r="E191" s="2">
        <v>2104</v>
      </c>
      <c r="F191" s="1" t="s">
        <v>8</v>
      </c>
      <c r="G191" s="21"/>
    </row>
    <row r="192" spans="2:7" hidden="1" x14ac:dyDescent="0.35">
      <c r="B192" s="20" t="s">
        <v>5</v>
      </c>
      <c r="C192" s="1" t="s">
        <v>368</v>
      </c>
      <c r="D192" s="1" t="s">
        <v>369</v>
      </c>
      <c r="E192" s="2">
        <v>1016</v>
      </c>
      <c r="F192" s="1" t="s">
        <v>8</v>
      </c>
      <c r="G192" s="21"/>
    </row>
    <row r="193" spans="2:7" hidden="1" x14ac:dyDescent="0.35">
      <c r="B193" s="20" t="s">
        <v>5</v>
      </c>
      <c r="C193" s="1" t="s">
        <v>370</v>
      </c>
      <c r="D193" s="1" t="s">
        <v>371</v>
      </c>
      <c r="E193" s="2">
        <v>8509</v>
      </c>
      <c r="F193" s="1" t="s">
        <v>8</v>
      </c>
      <c r="G193" s="21"/>
    </row>
    <row r="194" spans="2:7" hidden="1" x14ac:dyDescent="0.35">
      <c r="B194" s="20" t="s">
        <v>5</v>
      </c>
      <c r="C194" s="1" t="s">
        <v>372</v>
      </c>
      <c r="D194" s="1" t="s">
        <v>373</v>
      </c>
      <c r="E194" s="2">
        <v>10478</v>
      </c>
      <c r="F194" s="1" t="s">
        <v>8</v>
      </c>
      <c r="G194" s="21"/>
    </row>
    <row r="195" spans="2:7" hidden="1" x14ac:dyDescent="0.35">
      <c r="B195" s="20" t="s">
        <v>5</v>
      </c>
      <c r="C195" s="1" t="s">
        <v>374</v>
      </c>
      <c r="D195" s="1" t="s">
        <v>375</v>
      </c>
      <c r="E195" s="2">
        <v>10884</v>
      </c>
      <c r="F195" s="1" t="s">
        <v>8</v>
      </c>
      <c r="G195" s="21"/>
    </row>
    <row r="196" spans="2:7" hidden="1" x14ac:dyDescent="0.35">
      <c r="B196" s="20" t="s">
        <v>5</v>
      </c>
      <c r="C196" s="1" t="s">
        <v>376</v>
      </c>
      <c r="D196" s="1" t="s">
        <v>377</v>
      </c>
      <c r="E196" s="2">
        <v>15026</v>
      </c>
      <c r="F196" s="1" t="s">
        <v>8</v>
      </c>
      <c r="G196" s="21"/>
    </row>
    <row r="197" spans="2:7" hidden="1" x14ac:dyDescent="0.35">
      <c r="B197" s="20" t="s">
        <v>5</v>
      </c>
      <c r="C197" s="1" t="s">
        <v>378</v>
      </c>
      <c r="D197" s="1" t="s">
        <v>379</v>
      </c>
      <c r="E197" s="2">
        <v>40</v>
      </c>
      <c r="F197" s="1" t="s">
        <v>8</v>
      </c>
      <c r="G197" s="21"/>
    </row>
    <row r="198" spans="2:7" hidden="1" x14ac:dyDescent="0.35">
      <c r="B198" s="20" t="s">
        <v>5</v>
      </c>
      <c r="C198" s="1" t="s">
        <v>380</v>
      </c>
      <c r="D198" s="1" t="s">
        <v>381</v>
      </c>
      <c r="E198" s="2">
        <v>12920</v>
      </c>
      <c r="F198" s="1" t="s">
        <v>8</v>
      </c>
      <c r="G198" s="21"/>
    </row>
    <row r="199" spans="2:7" hidden="1" x14ac:dyDescent="0.35">
      <c r="B199" s="20" t="s">
        <v>5</v>
      </c>
      <c r="C199" s="1" t="s">
        <v>382</v>
      </c>
      <c r="D199" s="1" t="s">
        <v>383</v>
      </c>
      <c r="E199" s="2">
        <v>15109</v>
      </c>
      <c r="F199" s="1" t="s">
        <v>8</v>
      </c>
      <c r="G199" s="21"/>
    </row>
    <row r="200" spans="2:7" hidden="1" x14ac:dyDescent="0.35">
      <c r="B200" s="20" t="s">
        <v>5</v>
      </c>
      <c r="C200" s="1" t="s">
        <v>384</v>
      </c>
      <c r="D200" s="1" t="s">
        <v>385</v>
      </c>
      <c r="E200" s="2">
        <v>52</v>
      </c>
      <c r="F200" s="1" t="s">
        <v>8</v>
      </c>
      <c r="G200" s="21"/>
    </row>
    <row r="201" spans="2:7" hidden="1" x14ac:dyDescent="0.35">
      <c r="B201" s="20" t="s">
        <v>5</v>
      </c>
      <c r="C201" s="1" t="s">
        <v>386</v>
      </c>
      <c r="D201" s="1" t="s">
        <v>387</v>
      </c>
      <c r="E201" s="2">
        <v>202</v>
      </c>
      <c r="F201" s="1" t="s">
        <v>8</v>
      </c>
      <c r="G201" s="21"/>
    </row>
    <row r="202" spans="2:7" hidden="1" x14ac:dyDescent="0.35">
      <c r="B202" s="20" t="s">
        <v>5</v>
      </c>
      <c r="C202" s="1" t="s">
        <v>388</v>
      </c>
      <c r="D202" s="1" t="s">
        <v>389</v>
      </c>
      <c r="E202" s="2">
        <v>370</v>
      </c>
      <c r="F202" s="1" t="s">
        <v>8</v>
      </c>
      <c r="G202" s="21"/>
    </row>
    <row r="203" spans="2:7" hidden="1" x14ac:dyDescent="0.35">
      <c r="B203" s="20" t="s">
        <v>5</v>
      </c>
      <c r="C203" s="1" t="s">
        <v>390</v>
      </c>
      <c r="D203" s="1" t="s">
        <v>391</v>
      </c>
      <c r="E203" s="2">
        <v>715</v>
      </c>
      <c r="F203" s="1" t="s">
        <v>8</v>
      </c>
      <c r="G203" s="21"/>
    </row>
    <row r="204" spans="2:7" hidden="1" x14ac:dyDescent="0.35">
      <c r="B204" s="20" t="s">
        <v>5</v>
      </c>
      <c r="C204" s="1" t="s">
        <v>392</v>
      </c>
      <c r="D204" s="1" t="s">
        <v>393</v>
      </c>
      <c r="E204" s="2">
        <v>73</v>
      </c>
      <c r="F204" s="1" t="s">
        <v>8</v>
      </c>
      <c r="G204" s="21"/>
    </row>
    <row r="205" spans="2:7" hidden="1" x14ac:dyDescent="0.35">
      <c r="B205" s="20" t="s">
        <v>5</v>
      </c>
      <c r="C205" s="1" t="s">
        <v>394</v>
      </c>
      <c r="D205" s="1" t="s">
        <v>395</v>
      </c>
      <c r="E205" s="2">
        <v>220</v>
      </c>
      <c r="F205" s="1" t="s">
        <v>8</v>
      </c>
      <c r="G205" s="21"/>
    </row>
    <row r="206" spans="2:7" hidden="1" x14ac:dyDescent="0.35">
      <c r="B206" s="20" t="s">
        <v>5</v>
      </c>
      <c r="C206" s="1" t="s">
        <v>396</v>
      </c>
      <c r="D206" s="1" t="s">
        <v>397</v>
      </c>
      <c r="E206" s="2">
        <v>252</v>
      </c>
      <c r="F206" s="1" t="s">
        <v>8</v>
      </c>
      <c r="G206" s="21"/>
    </row>
    <row r="207" spans="2:7" hidden="1" x14ac:dyDescent="0.35">
      <c r="B207" s="20" t="s">
        <v>5</v>
      </c>
      <c r="C207" s="1" t="s">
        <v>398</v>
      </c>
      <c r="D207" s="1" t="s">
        <v>399</v>
      </c>
      <c r="E207" s="2">
        <v>61</v>
      </c>
      <c r="F207" s="1" t="s">
        <v>8</v>
      </c>
      <c r="G207" s="21"/>
    </row>
    <row r="208" spans="2:7" hidden="1" x14ac:dyDescent="0.35">
      <c r="B208" s="20" t="s">
        <v>5</v>
      </c>
      <c r="C208" s="1" t="s">
        <v>400</v>
      </c>
      <c r="D208" s="1" t="s">
        <v>401</v>
      </c>
      <c r="E208" s="2">
        <v>1656</v>
      </c>
      <c r="F208" s="1" t="s">
        <v>8</v>
      </c>
      <c r="G208" s="21"/>
    </row>
    <row r="209" spans="2:7" hidden="1" x14ac:dyDescent="0.35">
      <c r="B209" s="20" t="s">
        <v>5</v>
      </c>
      <c r="C209" s="1" t="s">
        <v>402</v>
      </c>
      <c r="D209" s="1" t="s">
        <v>403</v>
      </c>
      <c r="E209" s="2">
        <v>64</v>
      </c>
      <c r="F209" s="1" t="s">
        <v>8</v>
      </c>
      <c r="G209" s="21"/>
    </row>
    <row r="210" spans="2:7" hidden="1" x14ac:dyDescent="0.35">
      <c r="B210" s="20" t="s">
        <v>5</v>
      </c>
      <c r="C210" s="1" t="s">
        <v>404</v>
      </c>
      <c r="D210" s="1" t="s">
        <v>405</v>
      </c>
      <c r="E210" s="2">
        <v>54</v>
      </c>
      <c r="F210" s="1" t="s">
        <v>8</v>
      </c>
      <c r="G210" s="21"/>
    </row>
    <row r="211" spans="2:7" hidden="1" x14ac:dyDescent="0.35">
      <c r="B211" s="20" t="s">
        <v>5</v>
      </c>
      <c r="C211" s="1" t="s">
        <v>406</v>
      </c>
      <c r="D211" s="1" t="s">
        <v>407</v>
      </c>
      <c r="E211" s="2">
        <v>76</v>
      </c>
      <c r="F211" s="1" t="s">
        <v>8</v>
      </c>
      <c r="G211" s="21"/>
    </row>
    <row r="212" spans="2:7" hidden="1" x14ac:dyDescent="0.35">
      <c r="B212" s="20" t="s">
        <v>5</v>
      </c>
      <c r="C212" s="1" t="s">
        <v>408</v>
      </c>
      <c r="D212" s="1" t="s">
        <v>409</v>
      </c>
      <c r="E212" s="2">
        <v>343</v>
      </c>
      <c r="F212" s="1" t="s">
        <v>8</v>
      </c>
      <c r="G212" s="21"/>
    </row>
    <row r="213" spans="2:7" hidden="1" x14ac:dyDescent="0.35">
      <c r="B213" s="20" t="s">
        <v>5</v>
      </c>
      <c r="C213" s="1" t="s">
        <v>410</v>
      </c>
      <c r="D213" s="1" t="s">
        <v>411</v>
      </c>
      <c r="E213" s="2">
        <v>82</v>
      </c>
      <c r="F213" s="1" t="s">
        <v>8</v>
      </c>
      <c r="G213" s="21"/>
    </row>
    <row r="214" spans="2:7" hidden="1" x14ac:dyDescent="0.35">
      <c r="B214" s="20" t="s">
        <v>5</v>
      </c>
      <c r="C214" s="1" t="s">
        <v>412</v>
      </c>
      <c r="D214" s="1" t="s">
        <v>413</v>
      </c>
      <c r="E214" s="2">
        <v>32</v>
      </c>
      <c r="F214" s="1" t="s">
        <v>8</v>
      </c>
      <c r="G214" s="21"/>
    </row>
    <row r="215" spans="2:7" hidden="1" x14ac:dyDescent="0.35">
      <c r="B215" s="20" t="s">
        <v>5</v>
      </c>
      <c r="C215" s="1" t="s">
        <v>414</v>
      </c>
      <c r="D215" s="1" t="s">
        <v>415</v>
      </c>
      <c r="E215" s="2">
        <v>53</v>
      </c>
      <c r="F215" s="1" t="s">
        <v>8</v>
      </c>
      <c r="G215" s="21"/>
    </row>
    <row r="216" spans="2:7" hidden="1" x14ac:dyDescent="0.35">
      <c r="B216" s="20" t="s">
        <v>5</v>
      </c>
      <c r="C216" s="1" t="s">
        <v>416</v>
      </c>
      <c r="D216" s="1" t="s">
        <v>417</v>
      </c>
      <c r="E216" s="2">
        <v>8</v>
      </c>
      <c r="F216" s="1" t="s">
        <v>8</v>
      </c>
      <c r="G216" s="21"/>
    </row>
    <row r="217" spans="2:7" hidden="1" x14ac:dyDescent="0.35">
      <c r="B217" s="20" t="s">
        <v>5</v>
      </c>
      <c r="C217" s="1" t="s">
        <v>418</v>
      </c>
      <c r="D217" s="1" t="s">
        <v>419</v>
      </c>
      <c r="E217" s="2">
        <v>266</v>
      </c>
      <c r="F217" s="1" t="s">
        <v>8</v>
      </c>
      <c r="G217" s="21"/>
    </row>
    <row r="218" spans="2:7" hidden="1" x14ac:dyDescent="0.35">
      <c r="B218" s="20" t="s">
        <v>5</v>
      </c>
      <c r="C218" s="1" t="s">
        <v>420</v>
      </c>
      <c r="D218" s="1" t="s">
        <v>421</v>
      </c>
      <c r="E218" s="2">
        <v>80</v>
      </c>
      <c r="F218" s="1" t="s">
        <v>8</v>
      </c>
      <c r="G218" s="21"/>
    </row>
    <row r="219" spans="2:7" hidden="1" x14ac:dyDescent="0.35">
      <c r="B219" s="20" t="s">
        <v>5</v>
      </c>
      <c r="C219" s="1" t="s">
        <v>422</v>
      </c>
      <c r="D219" s="1" t="s">
        <v>423</v>
      </c>
      <c r="E219" s="2">
        <v>27</v>
      </c>
      <c r="F219" s="1" t="s">
        <v>8</v>
      </c>
      <c r="G219" s="21"/>
    </row>
    <row r="220" spans="2:7" hidden="1" x14ac:dyDescent="0.35">
      <c r="B220" s="20" t="s">
        <v>5</v>
      </c>
      <c r="C220" s="1" t="s">
        <v>424</v>
      </c>
      <c r="D220" s="1" t="s">
        <v>425</v>
      </c>
      <c r="E220" s="2">
        <v>33</v>
      </c>
      <c r="F220" s="1" t="s">
        <v>8</v>
      </c>
      <c r="G220" s="21"/>
    </row>
    <row r="221" spans="2:7" hidden="1" x14ac:dyDescent="0.35">
      <c r="B221" s="20" t="s">
        <v>5</v>
      </c>
      <c r="C221" s="1" t="s">
        <v>426</v>
      </c>
      <c r="D221" s="1" t="s">
        <v>427</v>
      </c>
      <c r="E221" s="2">
        <v>172</v>
      </c>
      <c r="F221" s="1" t="s">
        <v>8</v>
      </c>
      <c r="G221" s="21"/>
    </row>
    <row r="222" spans="2:7" hidden="1" x14ac:dyDescent="0.35">
      <c r="B222" s="20" t="s">
        <v>5</v>
      </c>
      <c r="C222" s="1" t="s">
        <v>428</v>
      </c>
      <c r="D222" s="1" t="s">
        <v>429</v>
      </c>
      <c r="E222" s="2">
        <v>151</v>
      </c>
      <c r="F222" s="1" t="s">
        <v>8</v>
      </c>
      <c r="G222" s="21"/>
    </row>
    <row r="223" spans="2:7" hidden="1" x14ac:dyDescent="0.35">
      <c r="B223" s="20" t="s">
        <v>5</v>
      </c>
      <c r="C223" s="1" t="s">
        <v>430</v>
      </c>
      <c r="D223" s="1" t="s">
        <v>431</v>
      </c>
      <c r="E223" s="2">
        <v>36</v>
      </c>
      <c r="F223" s="1" t="s">
        <v>8</v>
      </c>
      <c r="G223" s="21"/>
    </row>
    <row r="224" spans="2:7" hidden="1" x14ac:dyDescent="0.35">
      <c r="B224" s="20" t="s">
        <v>5</v>
      </c>
      <c r="C224" s="1" t="s">
        <v>432</v>
      </c>
      <c r="D224" s="1" t="s">
        <v>433</v>
      </c>
      <c r="E224" s="2">
        <v>144</v>
      </c>
      <c r="F224" s="1" t="s">
        <v>8</v>
      </c>
      <c r="G224" s="21"/>
    </row>
    <row r="225" spans="2:7" hidden="1" x14ac:dyDescent="0.35">
      <c r="B225" s="20" t="s">
        <v>5</v>
      </c>
      <c r="C225" s="1" t="s">
        <v>434</v>
      </c>
      <c r="D225" s="1" t="s">
        <v>435</v>
      </c>
      <c r="E225" s="2">
        <v>53</v>
      </c>
      <c r="F225" s="1" t="s">
        <v>8</v>
      </c>
      <c r="G225" s="21"/>
    </row>
    <row r="226" spans="2:7" hidden="1" x14ac:dyDescent="0.35">
      <c r="B226" s="20" t="s">
        <v>5</v>
      </c>
      <c r="C226" s="1" t="s">
        <v>436</v>
      </c>
      <c r="D226" s="1" t="s">
        <v>437</v>
      </c>
      <c r="E226" s="2">
        <v>96</v>
      </c>
      <c r="F226" s="1" t="s">
        <v>8</v>
      </c>
      <c r="G226" s="21"/>
    </row>
    <row r="227" spans="2:7" hidden="1" x14ac:dyDescent="0.35">
      <c r="B227" s="20" t="s">
        <v>5</v>
      </c>
      <c r="C227" s="1" t="s">
        <v>438</v>
      </c>
      <c r="D227" s="1" t="s">
        <v>439</v>
      </c>
      <c r="E227" s="2">
        <v>6850</v>
      </c>
      <c r="F227" s="1" t="s">
        <v>8</v>
      </c>
      <c r="G227" s="21"/>
    </row>
    <row r="228" spans="2:7" hidden="1" x14ac:dyDescent="0.35">
      <c r="B228" s="20" t="s">
        <v>5</v>
      </c>
      <c r="C228" s="1" t="s">
        <v>440</v>
      </c>
      <c r="D228" s="1" t="s">
        <v>441</v>
      </c>
      <c r="E228" s="2">
        <v>35506</v>
      </c>
      <c r="F228" s="1" t="s">
        <v>8</v>
      </c>
      <c r="G228" s="21"/>
    </row>
    <row r="229" spans="2:7" hidden="1" x14ac:dyDescent="0.35">
      <c r="B229" s="20" t="s">
        <v>5</v>
      </c>
      <c r="C229" s="1" t="s">
        <v>442</v>
      </c>
      <c r="D229" s="1" t="s">
        <v>443</v>
      </c>
      <c r="E229" s="2">
        <v>6496</v>
      </c>
      <c r="F229" s="1" t="s">
        <v>8</v>
      </c>
      <c r="G229" s="21"/>
    </row>
    <row r="230" spans="2:7" hidden="1" x14ac:dyDescent="0.35">
      <c r="B230" s="20" t="s">
        <v>5</v>
      </c>
      <c r="C230" s="1" t="s">
        <v>444</v>
      </c>
      <c r="D230" s="1" t="s">
        <v>445</v>
      </c>
      <c r="E230" s="2">
        <v>2805</v>
      </c>
      <c r="F230" s="1" t="s">
        <v>8</v>
      </c>
      <c r="G230" s="21"/>
    </row>
    <row r="231" spans="2:7" hidden="1" x14ac:dyDescent="0.35">
      <c r="B231" s="20" t="s">
        <v>5</v>
      </c>
      <c r="C231" s="1" t="s">
        <v>446</v>
      </c>
      <c r="D231" s="1" t="s">
        <v>447</v>
      </c>
      <c r="E231" s="2">
        <v>1428</v>
      </c>
      <c r="F231" s="1" t="s">
        <v>8</v>
      </c>
      <c r="G231" s="21"/>
    </row>
    <row r="232" spans="2:7" hidden="1" x14ac:dyDescent="0.35">
      <c r="B232" s="20" t="s">
        <v>5</v>
      </c>
      <c r="C232" s="1" t="s">
        <v>448</v>
      </c>
      <c r="D232" s="1" t="s">
        <v>449</v>
      </c>
      <c r="E232" s="2">
        <v>1323</v>
      </c>
      <c r="F232" s="1" t="s">
        <v>8</v>
      </c>
      <c r="G232" s="21"/>
    </row>
    <row r="233" spans="2:7" hidden="1" x14ac:dyDescent="0.35">
      <c r="B233" s="20" t="s">
        <v>5</v>
      </c>
      <c r="C233" s="1" t="s">
        <v>450</v>
      </c>
      <c r="D233" s="1" t="s">
        <v>451</v>
      </c>
      <c r="E233" s="2">
        <v>750</v>
      </c>
      <c r="F233" s="1" t="s">
        <v>8</v>
      </c>
      <c r="G233" s="21"/>
    </row>
    <row r="234" spans="2:7" hidden="1" x14ac:dyDescent="0.35">
      <c r="B234" s="20" t="s">
        <v>5</v>
      </c>
      <c r="C234" s="1" t="s">
        <v>452</v>
      </c>
      <c r="D234" s="1" t="s">
        <v>453</v>
      </c>
      <c r="E234" s="2">
        <v>20000</v>
      </c>
      <c r="F234" s="1" t="s">
        <v>8</v>
      </c>
      <c r="G234" s="21"/>
    </row>
    <row r="235" spans="2:7" hidden="1" x14ac:dyDescent="0.35">
      <c r="B235" s="20" t="s">
        <v>5</v>
      </c>
      <c r="C235" s="1" t="s">
        <v>454</v>
      </c>
      <c r="D235" s="1" t="s">
        <v>455</v>
      </c>
      <c r="E235" s="2">
        <v>16</v>
      </c>
      <c r="F235" s="1" t="s">
        <v>8</v>
      </c>
      <c r="G235" s="21"/>
    </row>
    <row r="236" spans="2:7" hidden="1" x14ac:dyDescent="0.35">
      <c r="B236" s="20" t="s">
        <v>5</v>
      </c>
      <c r="C236" s="1" t="s">
        <v>456</v>
      </c>
      <c r="D236" s="1" t="s">
        <v>457</v>
      </c>
      <c r="E236" s="2">
        <v>3863</v>
      </c>
      <c r="F236" s="1" t="s">
        <v>8</v>
      </c>
      <c r="G236" s="21"/>
    </row>
    <row r="237" spans="2:7" hidden="1" x14ac:dyDescent="0.35">
      <c r="B237" s="20" t="s">
        <v>5</v>
      </c>
      <c r="C237" s="1" t="s">
        <v>458</v>
      </c>
      <c r="D237" s="1" t="s">
        <v>459</v>
      </c>
      <c r="E237" s="2">
        <v>109</v>
      </c>
      <c r="F237" s="1" t="s">
        <v>8</v>
      </c>
      <c r="G237" s="21"/>
    </row>
    <row r="238" spans="2:7" hidden="1" x14ac:dyDescent="0.35">
      <c r="B238" s="20" t="s">
        <v>5</v>
      </c>
      <c r="C238" s="1" t="s">
        <v>460</v>
      </c>
      <c r="D238" s="1" t="s">
        <v>461</v>
      </c>
      <c r="E238" s="2">
        <v>192</v>
      </c>
      <c r="F238" s="1" t="s">
        <v>8</v>
      </c>
      <c r="G238" s="21"/>
    </row>
    <row r="239" spans="2:7" hidden="1" x14ac:dyDescent="0.35">
      <c r="B239" s="20" t="s">
        <v>5</v>
      </c>
      <c r="C239" s="1" t="s">
        <v>462</v>
      </c>
      <c r="D239" s="1" t="s">
        <v>463</v>
      </c>
      <c r="E239" s="2">
        <v>89</v>
      </c>
      <c r="F239" s="1" t="s">
        <v>8</v>
      </c>
      <c r="G239" s="21"/>
    </row>
    <row r="240" spans="2:7" hidden="1" x14ac:dyDescent="0.35">
      <c r="B240" s="20" t="s">
        <v>5</v>
      </c>
      <c r="C240" s="1" t="s">
        <v>464</v>
      </c>
      <c r="D240" s="1" t="s">
        <v>465</v>
      </c>
      <c r="E240" s="2">
        <v>91</v>
      </c>
      <c r="F240" s="1" t="s">
        <v>8</v>
      </c>
      <c r="G240" s="21"/>
    </row>
    <row r="241" spans="2:7" hidden="1" x14ac:dyDescent="0.35">
      <c r="B241" s="20" t="s">
        <v>5</v>
      </c>
      <c r="C241" s="1" t="s">
        <v>466</v>
      </c>
      <c r="D241" s="1" t="s">
        <v>467</v>
      </c>
      <c r="E241" s="2">
        <v>17</v>
      </c>
      <c r="F241" s="1" t="s">
        <v>8</v>
      </c>
      <c r="G241" s="21"/>
    </row>
    <row r="242" spans="2:7" hidden="1" x14ac:dyDescent="0.35">
      <c r="B242" s="20" t="s">
        <v>5</v>
      </c>
      <c r="C242" s="1" t="s">
        <v>468</v>
      </c>
      <c r="D242" s="1" t="s">
        <v>469</v>
      </c>
      <c r="E242" s="2">
        <v>90</v>
      </c>
      <c r="F242" s="1" t="s">
        <v>8</v>
      </c>
      <c r="G242" s="21"/>
    </row>
    <row r="243" spans="2:7" hidden="1" x14ac:dyDescent="0.35">
      <c r="B243" s="20" t="s">
        <v>5</v>
      </c>
      <c r="C243" s="1" t="s">
        <v>470</v>
      </c>
      <c r="D243" s="1" t="s">
        <v>471</v>
      </c>
      <c r="E243" s="2">
        <v>129</v>
      </c>
      <c r="F243" s="1" t="s">
        <v>8</v>
      </c>
      <c r="G243" s="21"/>
    </row>
    <row r="244" spans="2:7" hidden="1" x14ac:dyDescent="0.35">
      <c r="B244" s="20" t="s">
        <v>5</v>
      </c>
      <c r="C244" s="1" t="s">
        <v>472</v>
      </c>
      <c r="D244" s="1" t="s">
        <v>473</v>
      </c>
      <c r="E244" s="2">
        <v>27</v>
      </c>
      <c r="F244" s="1" t="s">
        <v>8</v>
      </c>
      <c r="G244" s="21"/>
    </row>
    <row r="245" spans="2:7" hidden="1" x14ac:dyDescent="0.35">
      <c r="B245" s="20" t="s">
        <v>5</v>
      </c>
      <c r="C245" s="1" t="s">
        <v>474</v>
      </c>
      <c r="D245" s="1" t="s">
        <v>475</v>
      </c>
      <c r="E245" s="2">
        <v>2</v>
      </c>
      <c r="F245" s="1" t="s">
        <v>8</v>
      </c>
      <c r="G245" s="21"/>
    </row>
    <row r="246" spans="2:7" hidden="1" x14ac:dyDescent="0.35">
      <c r="B246" s="20" t="s">
        <v>5</v>
      </c>
      <c r="C246" s="1" t="s">
        <v>476</v>
      </c>
      <c r="D246" s="1" t="s">
        <v>477</v>
      </c>
      <c r="E246" s="2">
        <v>9</v>
      </c>
      <c r="F246" s="1" t="s">
        <v>8</v>
      </c>
      <c r="G246" s="21"/>
    </row>
    <row r="247" spans="2:7" hidden="1" x14ac:dyDescent="0.35">
      <c r="B247" s="20" t="s">
        <v>5</v>
      </c>
      <c r="C247" s="1" t="s">
        <v>478</v>
      </c>
      <c r="D247" s="1" t="s">
        <v>479</v>
      </c>
      <c r="E247" s="2">
        <v>59</v>
      </c>
      <c r="F247" s="1" t="s">
        <v>8</v>
      </c>
      <c r="G247" s="21"/>
    </row>
    <row r="248" spans="2:7" hidden="1" x14ac:dyDescent="0.35">
      <c r="B248" s="20" t="s">
        <v>5</v>
      </c>
      <c r="C248" s="1" t="s">
        <v>480</v>
      </c>
      <c r="D248" s="1" t="s">
        <v>481</v>
      </c>
      <c r="E248" s="3">
        <v>50.8</v>
      </c>
      <c r="F248" s="1" t="s">
        <v>8</v>
      </c>
      <c r="G248" s="22"/>
    </row>
    <row r="249" spans="2:7" hidden="1" x14ac:dyDescent="0.35">
      <c r="B249" s="20" t="s">
        <v>5</v>
      </c>
      <c r="C249" s="1" t="s">
        <v>482</v>
      </c>
      <c r="D249" s="1" t="s">
        <v>483</v>
      </c>
      <c r="E249" s="4">
        <v>21.498999999999999</v>
      </c>
      <c r="F249" s="1" t="s">
        <v>8</v>
      </c>
      <c r="G249" s="23"/>
    </row>
    <row r="250" spans="2:7" hidden="1" x14ac:dyDescent="0.35">
      <c r="B250" s="20" t="s">
        <v>5</v>
      </c>
      <c r="C250" s="1" t="s">
        <v>484</v>
      </c>
      <c r="D250" s="1" t="s">
        <v>485</v>
      </c>
      <c r="E250" s="2">
        <v>12494</v>
      </c>
      <c r="F250" s="1" t="s">
        <v>8</v>
      </c>
      <c r="G250" s="21"/>
    </row>
    <row r="251" spans="2:7" hidden="1" x14ac:dyDescent="0.35">
      <c r="B251" s="20" t="s">
        <v>5</v>
      </c>
      <c r="C251" s="1" t="s">
        <v>486</v>
      </c>
      <c r="D251" s="1" t="s">
        <v>487</v>
      </c>
      <c r="E251" s="2">
        <v>2790</v>
      </c>
      <c r="F251" s="1" t="s">
        <v>8</v>
      </c>
      <c r="G251" s="21"/>
    </row>
    <row r="252" spans="2:7" hidden="1" x14ac:dyDescent="0.35">
      <c r="B252" s="20" t="s">
        <v>5</v>
      </c>
      <c r="C252" s="1" t="s">
        <v>488</v>
      </c>
      <c r="D252" s="1" t="s">
        <v>489</v>
      </c>
      <c r="E252" s="2">
        <v>2681</v>
      </c>
      <c r="F252" s="1" t="s">
        <v>8</v>
      </c>
      <c r="G252" s="21"/>
    </row>
    <row r="253" spans="2:7" hidden="1" x14ac:dyDescent="0.35">
      <c r="B253" s="20" t="s">
        <v>5</v>
      </c>
      <c r="C253" s="1" t="s">
        <v>490</v>
      </c>
      <c r="D253" s="1" t="s">
        <v>491</v>
      </c>
      <c r="E253" s="2">
        <v>400</v>
      </c>
      <c r="F253" s="1" t="s">
        <v>8</v>
      </c>
      <c r="G253" s="21"/>
    </row>
    <row r="254" spans="2:7" x14ac:dyDescent="0.35">
      <c r="B254" s="20" t="s">
        <v>5</v>
      </c>
      <c r="C254" s="1" t="s">
        <v>492</v>
      </c>
      <c r="D254" s="1" t="s">
        <v>493</v>
      </c>
      <c r="E254" s="2">
        <v>3122</v>
      </c>
      <c r="F254" s="1" t="s">
        <v>8</v>
      </c>
      <c r="G254" s="21"/>
    </row>
    <row r="255" spans="2:7" x14ac:dyDescent="0.35">
      <c r="B255" s="20" t="s">
        <v>5</v>
      </c>
      <c r="C255" s="1" t="s">
        <v>494</v>
      </c>
      <c r="D255" s="1" t="s">
        <v>495</v>
      </c>
      <c r="E255" s="2">
        <v>24350</v>
      </c>
      <c r="F255" s="1" t="s">
        <v>8</v>
      </c>
      <c r="G255" s="21"/>
    </row>
    <row r="256" spans="2:7" x14ac:dyDescent="0.35">
      <c r="B256" s="20" t="s">
        <v>5</v>
      </c>
      <c r="C256" s="1" t="s">
        <v>496</v>
      </c>
      <c r="D256" s="1" t="s">
        <v>497</v>
      </c>
      <c r="E256" s="2">
        <v>55</v>
      </c>
      <c r="F256" s="1" t="s">
        <v>8</v>
      </c>
      <c r="G256" s="21"/>
    </row>
    <row r="257" spans="2:7" hidden="1" x14ac:dyDescent="0.35">
      <c r="B257" s="20" t="s">
        <v>5</v>
      </c>
      <c r="C257" s="1" t="s">
        <v>498</v>
      </c>
      <c r="D257" s="1" t="s">
        <v>499</v>
      </c>
      <c r="E257" s="2">
        <v>55</v>
      </c>
      <c r="F257" s="1" t="s">
        <v>8</v>
      </c>
      <c r="G257" s="21"/>
    </row>
    <row r="258" spans="2:7" hidden="1" x14ac:dyDescent="0.35">
      <c r="B258" s="20" t="s">
        <v>5</v>
      </c>
      <c r="C258" s="1" t="s">
        <v>500</v>
      </c>
      <c r="D258" s="1" t="s">
        <v>501</v>
      </c>
      <c r="E258" s="2">
        <v>999</v>
      </c>
      <c r="F258" s="1" t="s">
        <v>8</v>
      </c>
      <c r="G258" s="21"/>
    </row>
    <row r="259" spans="2:7" hidden="1" x14ac:dyDescent="0.35">
      <c r="B259" s="20" t="s">
        <v>5</v>
      </c>
      <c r="C259" s="1" t="s">
        <v>502</v>
      </c>
      <c r="D259" s="1" t="s">
        <v>503</v>
      </c>
      <c r="E259" s="2">
        <v>80</v>
      </c>
      <c r="F259" s="1" t="s">
        <v>8</v>
      </c>
      <c r="G259" s="21"/>
    </row>
    <row r="260" spans="2:7" hidden="1" x14ac:dyDescent="0.35">
      <c r="B260" s="20" t="s">
        <v>5</v>
      </c>
      <c r="C260" s="1" t="s">
        <v>504</v>
      </c>
      <c r="D260" s="1" t="s">
        <v>505</v>
      </c>
      <c r="E260" s="2">
        <v>5</v>
      </c>
      <c r="F260" s="1" t="s">
        <v>8</v>
      </c>
      <c r="G260" s="21"/>
    </row>
    <row r="261" spans="2:7" hidden="1" x14ac:dyDescent="0.35">
      <c r="B261" s="20" t="s">
        <v>5</v>
      </c>
      <c r="C261" s="1" t="s">
        <v>506</v>
      </c>
      <c r="D261" s="1" t="s">
        <v>507</v>
      </c>
      <c r="E261" s="2">
        <v>715</v>
      </c>
      <c r="F261" s="1" t="s">
        <v>8</v>
      </c>
      <c r="G261" s="21"/>
    </row>
    <row r="262" spans="2:7" hidden="1" x14ac:dyDescent="0.35">
      <c r="B262" s="20" t="s">
        <v>5</v>
      </c>
      <c r="C262" s="1" t="s">
        <v>508</v>
      </c>
      <c r="D262" s="1" t="s">
        <v>509</v>
      </c>
      <c r="E262" s="2">
        <v>5249</v>
      </c>
      <c r="F262" s="1" t="s">
        <v>8</v>
      </c>
      <c r="G262" s="21"/>
    </row>
    <row r="263" spans="2:7" hidden="1" x14ac:dyDescent="0.35">
      <c r="B263" s="20" t="s">
        <v>510</v>
      </c>
      <c r="C263" s="1" t="s">
        <v>511</v>
      </c>
      <c r="D263" s="1" t="s">
        <v>512</v>
      </c>
      <c r="E263" s="2">
        <v>1</v>
      </c>
      <c r="F263" s="1" t="s">
        <v>8</v>
      </c>
      <c r="G263" s="24" t="s">
        <v>513</v>
      </c>
    </row>
    <row r="264" spans="2:7" hidden="1" x14ac:dyDescent="0.35">
      <c r="B264" s="20" t="s">
        <v>510</v>
      </c>
      <c r="C264" s="1" t="s">
        <v>11</v>
      </c>
      <c r="D264" s="1" t="s">
        <v>12</v>
      </c>
      <c r="E264" s="2">
        <v>3128</v>
      </c>
      <c r="F264" s="1" t="s">
        <v>8</v>
      </c>
      <c r="G264" s="24" t="s">
        <v>514</v>
      </c>
    </row>
    <row r="265" spans="2:7" hidden="1" x14ac:dyDescent="0.35">
      <c r="B265" s="20" t="s">
        <v>510</v>
      </c>
      <c r="C265" s="1" t="s">
        <v>13</v>
      </c>
      <c r="D265" s="1" t="s">
        <v>14</v>
      </c>
      <c r="E265" s="2">
        <v>600</v>
      </c>
      <c r="F265" s="1" t="s">
        <v>8</v>
      </c>
      <c r="G265" s="24" t="s">
        <v>514</v>
      </c>
    </row>
    <row r="266" spans="2:7" hidden="1" x14ac:dyDescent="0.35">
      <c r="B266" s="20" t="s">
        <v>510</v>
      </c>
      <c r="C266" s="1" t="s">
        <v>15</v>
      </c>
      <c r="D266" s="1" t="s">
        <v>16</v>
      </c>
      <c r="E266" s="2">
        <v>2478</v>
      </c>
      <c r="F266" s="1" t="s">
        <v>8</v>
      </c>
      <c r="G266" s="24" t="s">
        <v>514</v>
      </c>
    </row>
    <row r="267" spans="2:7" hidden="1" x14ac:dyDescent="0.35">
      <c r="B267" s="20" t="s">
        <v>510</v>
      </c>
      <c r="C267" s="1" t="s">
        <v>17</v>
      </c>
      <c r="D267" s="1" t="s">
        <v>18</v>
      </c>
      <c r="E267" s="2">
        <v>50</v>
      </c>
      <c r="F267" s="1" t="s">
        <v>8</v>
      </c>
      <c r="G267" s="24" t="s">
        <v>514</v>
      </c>
    </row>
    <row r="268" spans="2:7" hidden="1" x14ac:dyDescent="0.35">
      <c r="B268" s="20" t="s">
        <v>510</v>
      </c>
      <c r="C268" s="1" t="s">
        <v>19</v>
      </c>
      <c r="D268" s="1" t="s">
        <v>20</v>
      </c>
      <c r="E268" s="2">
        <v>704</v>
      </c>
      <c r="F268" s="1" t="s">
        <v>8</v>
      </c>
      <c r="G268" s="24" t="s">
        <v>514</v>
      </c>
    </row>
    <row r="269" spans="2:7" hidden="1" x14ac:dyDescent="0.35">
      <c r="B269" s="20" t="s">
        <v>510</v>
      </c>
      <c r="C269" s="1" t="s">
        <v>21</v>
      </c>
      <c r="D269" s="1" t="s">
        <v>22</v>
      </c>
      <c r="E269" s="2">
        <v>11</v>
      </c>
      <c r="F269" s="1" t="s">
        <v>8</v>
      </c>
      <c r="G269" s="24" t="s">
        <v>514</v>
      </c>
    </row>
    <row r="270" spans="2:7" hidden="1" x14ac:dyDescent="0.35">
      <c r="B270" s="20" t="s">
        <v>510</v>
      </c>
      <c r="C270" s="1" t="s">
        <v>23</v>
      </c>
      <c r="D270" s="1" t="s">
        <v>24</v>
      </c>
      <c r="E270" s="2">
        <v>336</v>
      </c>
      <c r="F270" s="1" t="s">
        <v>8</v>
      </c>
      <c r="G270" s="24" t="s">
        <v>514</v>
      </c>
    </row>
    <row r="271" spans="2:7" hidden="1" x14ac:dyDescent="0.35">
      <c r="B271" s="20" t="s">
        <v>510</v>
      </c>
      <c r="C271" s="1" t="s">
        <v>25</v>
      </c>
      <c r="D271" s="1" t="s">
        <v>26</v>
      </c>
      <c r="E271" s="2">
        <v>288</v>
      </c>
      <c r="F271" s="1" t="s">
        <v>8</v>
      </c>
      <c r="G271" s="24" t="s">
        <v>514</v>
      </c>
    </row>
    <row r="272" spans="2:7" hidden="1" x14ac:dyDescent="0.35">
      <c r="B272" s="20" t="s">
        <v>510</v>
      </c>
      <c r="C272" s="1" t="s">
        <v>27</v>
      </c>
      <c r="D272" s="1" t="s">
        <v>28</v>
      </c>
      <c r="E272" s="2">
        <v>150</v>
      </c>
      <c r="F272" s="1" t="s">
        <v>8</v>
      </c>
      <c r="G272" s="24" t="s">
        <v>514</v>
      </c>
    </row>
    <row r="273" spans="2:7" hidden="1" x14ac:dyDescent="0.35">
      <c r="B273" s="20" t="s">
        <v>510</v>
      </c>
      <c r="C273" s="1" t="s">
        <v>32</v>
      </c>
      <c r="D273" s="1" t="s">
        <v>33</v>
      </c>
      <c r="E273" s="2">
        <v>40</v>
      </c>
      <c r="F273" s="1" t="s">
        <v>8</v>
      </c>
      <c r="G273" s="24" t="s">
        <v>514</v>
      </c>
    </row>
    <row r="274" spans="2:7" hidden="1" x14ac:dyDescent="0.35">
      <c r="B274" s="20" t="s">
        <v>510</v>
      </c>
      <c r="C274" s="1" t="s">
        <v>36</v>
      </c>
      <c r="D274" s="1" t="s">
        <v>37</v>
      </c>
      <c r="E274" s="2">
        <v>20</v>
      </c>
      <c r="F274" s="1" t="s">
        <v>8</v>
      </c>
      <c r="G274" s="24" t="s">
        <v>514</v>
      </c>
    </row>
    <row r="275" spans="2:7" hidden="1" x14ac:dyDescent="0.35">
      <c r="B275" s="20" t="s">
        <v>510</v>
      </c>
      <c r="C275" s="1" t="s">
        <v>38</v>
      </c>
      <c r="D275" s="1" t="s">
        <v>39</v>
      </c>
      <c r="E275" s="2">
        <v>5</v>
      </c>
      <c r="F275" s="1" t="s">
        <v>8</v>
      </c>
      <c r="G275" s="24" t="s">
        <v>514</v>
      </c>
    </row>
    <row r="276" spans="2:7" hidden="1" x14ac:dyDescent="0.35">
      <c r="B276" s="20" t="s">
        <v>510</v>
      </c>
      <c r="C276" s="1" t="s">
        <v>40</v>
      </c>
      <c r="D276" s="1" t="s">
        <v>41</v>
      </c>
      <c r="E276" s="2">
        <v>50</v>
      </c>
      <c r="F276" s="1" t="s">
        <v>8</v>
      </c>
      <c r="G276" s="24" t="s">
        <v>514</v>
      </c>
    </row>
    <row r="277" spans="2:7" hidden="1" x14ac:dyDescent="0.35">
      <c r="B277" s="20" t="s">
        <v>510</v>
      </c>
      <c r="C277" s="1" t="s">
        <v>42</v>
      </c>
      <c r="D277" s="1" t="s">
        <v>43</v>
      </c>
      <c r="E277" s="2">
        <v>146</v>
      </c>
      <c r="F277" s="1" t="s">
        <v>8</v>
      </c>
      <c r="G277" s="24" t="s">
        <v>514</v>
      </c>
    </row>
    <row r="278" spans="2:7" hidden="1" x14ac:dyDescent="0.35">
      <c r="B278" s="20" t="s">
        <v>510</v>
      </c>
      <c r="C278" s="1" t="s">
        <v>46</v>
      </c>
      <c r="D278" s="1" t="s">
        <v>47</v>
      </c>
      <c r="E278" s="2">
        <v>100</v>
      </c>
      <c r="F278" s="1" t="s">
        <v>8</v>
      </c>
      <c r="G278" s="24" t="s">
        <v>514</v>
      </c>
    </row>
    <row r="279" spans="2:7" hidden="1" x14ac:dyDescent="0.35">
      <c r="B279" s="20" t="s">
        <v>510</v>
      </c>
      <c r="C279" s="1" t="s">
        <v>66</v>
      </c>
      <c r="D279" s="1" t="s">
        <v>67</v>
      </c>
      <c r="E279" s="2">
        <v>3400</v>
      </c>
      <c r="F279" s="1" t="s">
        <v>8</v>
      </c>
      <c r="G279" s="24" t="s">
        <v>515</v>
      </c>
    </row>
    <row r="280" spans="2:7" hidden="1" x14ac:dyDescent="0.35">
      <c r="B280" s="20" t="s">
        <v>510</v>
      </c>
      <c r="C280" s="1" t="s">
        <v>70</v>
      </c>
      <c r="D280" s="1" t="s">
        <v>71</v>
      </c>
      <c r="E280" s="2">
        <v>20</v>
      </c>
      <c r="F280" s="1" t="s">
        <v>8</v>
      </c>
      <c r="G280" s="24" t="s">
        <v>514</v>
      </c>
    </row>
    <row r="281" spans="2:7" hidden="1" x14ac:dyDescent="0.35">
      <c r="B281" s="20" t="s">
        <v>510</v>
      </c>
      <c r="C281" s="1" t="s">
        <v>72</v>
      </c>
      <c r="D281" s="1" t="s">
        <v>73</v>
      </c>
      <c r="E281" s="2">
        <v>64</v>
      </c>
      <c r="F281" s="1" t="s">
        <v>8</v>
      </c>
      <c r="G281" s="24" t="s">
        <v>514</v>
      </c>
    </row>
    <row r="282" spans="2:7" hidden="1" x14ac:dyDescent="0.35">
      <c r="B282" s="20" t="s">
        <v>510</v>
      </c>
      <c r="C282" s="1" t="s">
        <v>76</v>
      </c>
      <c r="D282" s="1" t="s">
        <v>77</v>
      </c>
      <c r="E282" s="2">
        <v>36</v>
      </c>
      <c r="F282" s="1" t="s">
        <v>8</v>
      </c>
      <c r="G282" s="24" t="s">
        <v>514</v>
      </c>
    </row>
    <row r="283" spans="2:7" hidden="1" x14ac:dyDescent="0.35">
      <c r="B283" s="20" t="s">
        <v>510</v>
      </c>
      <c r="C283" s="1" t="s">
        <v>82</v>
      </c>
      <c r="D283" s="1" t="s">
        <v>83</v>
      </c>
      <c r="E283" s="2">
        <v>92</v>
      </c>
      <c r="F283" s="1" t="s">
        <v>8</v>
      </c>
      <c r="G283" s="24" t="s">
        <v>514</v>
      </c>
    </row>
    <row r="284" spans="2:7" hidden="1" x14ac:dyDescent="0.35">
      <c r="B284" s="20" t="s">
        <v>510</v>
      </c>
      <c r="C284" s="1" t="s">
        <v>84</v>
      </c>
      <c r="D284" s="1" t="s">
        <v>85</v>
      </c>
      <c r="E284" s="2">
        <v>101</v>
      </c>
      <c r="F284" s="1" t="s">
        <v>8</v>
      </c>
      <c r="G284" s="24" t="s">
        <v>514</v>
      </c>
    </row>
    <row r="285" spans="2:7" hidden="1" x14ac:dyDescent="0.35">
      <c r="B285" s="20" t="s">
        <v>510</v>
      </c>
      <c r="C285" s="1" t="s">
        <v>86</v>
      </c>
      <c r="D285" s="1" t="s">
        <v>87</v>
      </c>
      <c r="E285" s="2">
        <v>5</v>
      </c>
      <c r="F285" s="1" t="s">
        <v>8</v>
      </c>
      <c r="G285" s="24" t="s">
        <v>514</v>
      </c>
    </row>
    <row r="286" spans="2:7" hidden="1" x14ac:dyDescent="0.35">
      <c r="B286" s="20" t="s">
        <v>510</v>
      </c>
      <c r="C286" s="1" t="s">
        <v>90</v>
      </c>
      <c r="D286" s="1" t="s">
        <v>91</v>
      </c>
      <c r="E286" s="2">
        <v>20</v>
      </c>
      <c r="F286" s="1" t="s">
        <v>8</v>
      </c>
      <c r="G286" s="24" t="s">
        <v>514</v>
      </c>
    </row>
    <row r="287" spans="2:7" hidden="1" x14ac:dyDescent="0.35">
      <c r="B287" s="20" t="s">
        <v>510</v>
      </c>
      <c r="C287" s="1" t="s">
        <v>94</v>
      </c>
      <c r="D287" s="1" t="s">
        <v>95</v>
      </c>
      <c r="E287" s="2">
        <v>65</v>
      </c>
      <c r="F287" s="1" t="s">
        <v>8</v>
      </c>
      <c r="G287" s="24" t="s">
        <v>514</v>
      </c>
    </row>
    <row r="288" spans="2:7" hidden="1" x14ac:dyDescent="0.35">
      <c r="B288" s="20" t="s">
        <v>510</v>
      </c>
      <c r="C288" s="1" t="s">
        <v>98</v>
      </c>
      <c r="D288" s="1" t="s">
        <v>99</v>
      </c>
      <c r="E288" s="2">
        <v>71</v>
      </c>
      <c r="F288" s="1" t="s">
        <v>8</v>
      </c>
      <c r="G288" s="24" t="s">
        <v>514</v>
      </c>
    </row>
    <row r="289" spans="2:7" hidden="1" x14ac:dyDescent="0.35">
      <c r="B289" s="20" t="s">
        <v>510</v>
      </c>
      <c r="C289" s="1" t="s">
        <v>102</v>
      </c>
      <c r="D289" s="1" t="s">
        <v>103</v>
      </c>
      <c r="E289" s="2">
        <v>102</v>
      </c>
      <c r="F289" s="1" t="s">
        <v>8</v>
      </c>
      <c r="G289" s="24" t="s">
        <v>514</v>
      </c>
    </row>
    <row r="290" spans="2:7" hidden="1" x14ac:dyDescent="0.35">
      <c r="B290" s="20" t="s">
        <v>510</v>
      </c>
      <c r="C290" s="1" t="s">
        <v>118</v>
      </c>
      <c r="D290" s="1" t="s">
        <v>119</v>
      </c>
      <c r="E290" s="2">
        <v>168</v>
      </c>
      <c r="F290" s="1" t="s">
        <v>8</v>
      </c>
      <c r="G290" s="24" t="s">
        <v>514</v>
      </c>
    </row>
    <row r="291" spans="2:7" hidden="1" x14ac:dyDescent="0.35">
      <c r="B291" s="20" t="s">
        <v>510</v>
      </c>
      <c r="C291" s="1" t="s">
        <v>516</v>
      </c>
      <c r="D291" s="1" t="s">
        <v>517</v>
      </c>
      <c r="E291" s="2">
        <v>200</v>
      </c>
      <c r="F291" s="1" t="s">
        <v>8</v>
      </c>
      <c r="G291" s="24" t="s">
        <v>518</v>
      </c>
    </row>
    <row r="292" spans="2:7" hidden="1" x14ac:dyDescent="0.35">
      <c r="B292" s="20" t="s">
        <v>510</v>
      </c>
      <c r="C292" s="1" t="s">
        <v>519</v>
      </c>
      <c r="D292" s="1" t="s">
        <v>520</v>
      </c>
      <c r="E292" s="2">
        <v>10</v>
      </c>
      <c r="F292" s="1" t="s">
        <v>8</v>
      </c>
      <c r="G292" s="24" t="s">
        <v>518</v>
      </c>
    </row>
    <row r="293" spans="2:7" hidden="1" x14ac:dyDescent="0.35">
      <c r="B293" s="20" t="s">
        <v>510</v>
      </c>
      <c r="C293" s="1" t="s">
        <v>130</v>
      </c>
      <c r="D293" s="1" t="s">
        <v>131</v>
      </c>
      <c r="E293" s="2">
        <v>540</v>
      </c>
      <c r="F293" s="1" t="s">
        <v>8</v>
      </c>
      <c r="G293" s="24" t="s">
        <v>518</v>
      </c>
    </row>
    <row r="294" spans="2:7" hidden="1" x14ac:dyDescent="0.35">
      <c r="B294" s="20" t="s">
        <v>510</v>
      </c>
      <c r="C294" s="1" t="s">
        <v>132</v>
      </c>
      <c r="D294" s="1" t="s">
        <v>133</v>
      </c>
      <c r="E294" s="2">
        <v>340</v>
      </c>
      <c r="F294" s="1" t="s">
        <v>8</v>
      </c>
      <c r="G294" s="24" t="s">
        <v>518</v>
      </c>
    </row>
    <row r="295" spans="2:7" hidden="1" x14ac:dyDescent="0.35">
      <c r="B295" s="20" t="s">
        <v>510</v>
      </c>
      <c r="C295" s="1" t="s">
        <v>134</v>
      </c>
      <c r="D295" s="1" t="s">
        <v>135</v>
      </c>
      <c r="E295" s="2">
        <v>388</v>
      </c>
      <c r="F295" s="1" t="s">
        <v>8</v>
      </c>
      <c r="G295" s="24" t="s">
        <v>518</v>
      </c>
    </row>
    <row r="296" spans="2:7" hidden="1" x14ac:dyDescent="0.35">
      <c r="B296" s="20" t="s">
        <v>510</v>
      </c>
      <c r="C296" s="1" t="s">
        <v>136</v>
      </c>
      <c r="D296" s="1" t="s">
        <v>137</v>
      </c>
      <c r="E296" s="2">
        <v>1900</v>
      </c>
      <c r="F296" s="1" t="s">
        <v>8</v>
      </c>
      <c r="G296" s="24" t="s">
        <v>518</v>
      </c>
    </row>
    <row r="297" spans="2:7" hidden="1" x14ac:dyDescent="0.35">
      <c r="B297" s="20" t="s">
        <v>510</v>
      </c>
      <c r="C297" s="1" t="s">
        <v>138</v>
      </c>
      <c r="D297" s="1" t="s">
        <v>139</v>
      </c>
      <c r="E297" s="2">
        <v>1640</v>
      </c>
      <c r="F297" s="1" t="s">
        <v>8</v>
      </c>
      <c r="G297" s="24" t="s">
        <v>518</v>
      </c>
    </row>
    <row r="298" spans="2:7" hidden="1" x14ac:dyDescent="0.35">
      <c r="B298" s="20" t="s">
        <v>510</v>
      </c>
      <c r="C298" s="1" t="s">
        <v>140</v>
      </c>
      <c r="D298" s="1" t="s">
        <v>141</v>
      </c>
      <c r="E298" s="2">
        <v>4300</v>
      </c>
      <c r="F298" s="1" t="s">
        <v>8</v>
      </c>
      <c r="G298" s="24" t="s">
        <v>518</v>
      </c>
    </row>
    <row r="299" spans="2:7" hidden="1" x14ac:dyDescent="0.35">
      <c r="B299" s="20" t="s">
        <v>510</v>
      </c>
      <c r="C299" s="1" t="s">
        <v>142</v>
      </c>
      <c r="D299" s="1" t="s">
        <v>143</v>
      </c>
      <c r="E299" s="2">
        <v>220</v>
      </c>
      <c r="F299" s="1" t="s">
        <v>8</v>
      </c>
      <c r="G299" s="24" t="s">
        <v>518</v>
      </c>
    </row>
    <row r="300" spans="2:7" hidden="1" x14ac:dyDescent="0.35">
      <c r="B300" s="20" t="s">
        <v>510</v>
      </c>
      <c r="C300" s="1" t="s">
        <v>144</v>
      </c>
      <c r="D300" s="1" t="s">
        <v>145</v>
      </c>
      <c r="E300" s="2">
        <v>200</v>
      </c>
      <c r="F300" s="1" t="s">
        <v>8</v>
      </c>
      <c r="G300" s="24" t="s">
        <v>518</v>
      </c>
    </row>
    <row r="301" spans="2:7" hidden="1" x14ac:dyDescent="0.35">
      <c r="B301" s="20" t="s">
        <v>510</v>
      </c>
      <c r="C301" s="1" t="s">
        <v>146</v>
      </c>
      <c r="D301" s="1" t="s">
        <v>147</v>
      </c>
      <c r="E301" s="2">
        <v>445</v>
      </c>
      <c r="F301" s="1" t="s">
        <v>8</v>
      </c>
      <c r="G301" s="24" t="s">
        <v>518</v>
      </c>
    </row>
    <row r="302" spans="2:7" hidden="1" x14ac:dyDescent="0.35">
      <c r="B302" s="20" t="s">
        <v>510</v>
      </c>
      <c r="C302" s="1" t="s">
        <v>148</v>
      </c>
      <c r="D302" s="1" t="s">
        <v>149</v>
      </c>
      <c r="E302" s="2">
        <v>110</v>
      </c>
      <c r="F302" s="1" t="s">
        <v>8</v>
      </c>
      <c r="G302" s="24" t="s">
        <v>518</v>
      </c>
    </row>
    <row r="303" spans="2:7" hidden="1" x14ac:dyDescent="0.35">
      <c r="B303" s="20" t="s">
        <v>510</v>
      </c>
      <c r="C303" s="1" t="s">
        <v>150</v>
      </c>
      <c r="D303" s="1" t="s">
        <v>151</v>
      </c>
      <c r="E303" s="2">
        <v>100</v>
      </c>
      <c r="F303" s="1" t="s">
        <v>8</v>
      </c>
      <c r="G303" s="24" t="s">
        <v>518</v>
      </c>
    </row>
    <row r="304" spans="2:7" hidden="1" x14ac:dyDescent="0.35">
      <c r="B304" s="20" t="s">
        <v>510</v>
      </c>
      <c r="C304" s="1" t="s">
        <v>521</v>
      </c>
      <c r="D304" s="1" t="s">
        <v>522</v>
      </c>
      <c r="E304" s="2">
        <v>30</v>
      </c>
      <c r="F304" s="1" t="s">
        <v>8</v>
      </c>
      <c r="G304" s="24" t="s">
        <v>518</v>
      </c>
    </row>
    <row r="305" spans="2:7" hidden="1" x14ac:dyDescent="0.35">
      <c r="B305" s="20" t="s">
        <v>510</v>
      </c>
      <c r="C305" s="1" t="s">
        <v>154</v>
      </c>
      <c r="D305" s="1" t="s">
        <v>155</v>
      </c>
      <c r="E305" s="2">
        <v>10</v>
      </c>
      <c r="F305" s="1" t="s">
        <v>8</v>
      </c>
      <c r="G305" s="24" t="s">
        <v>518</v>
      </c>
    </row>
    <row r="306" spans="2:7" hidden="1" x14ac:dyDescent="0.35">
      <c r="B306" s="20" t="s">
        <v>510</v>
      </c>
      <c r="C306" s="1" t="s">
        <v>156</v>
      </c>
      <c r="D306" s="1" t="s">
        <v>157</v>
      </c>
      <c r="E306" s="2">
        <v>381</v>
      </c>
      <c r="F306" s="1" t="s">
        <v>8</v>
      </c>
      <c r="G306" s="24" t="s">
        <v>523</v>
      </c>
    </row>
    <row r="307" spans="2:7" hidden="1" x14ac:dyDescent="0.35">
      <c r="B307" s="20" t="s">
        <v>510</v>
      </c>
      <c r="C307" s="1" t="s">
        <v>158</v>
      </c>
      <c r="D307" s="1" t="s">
        <v>159</v>
      </c>
      <c r="E307" s="2">
        <v>337</v>
      </c>
      <c r="F307" s="1" t="s">
        <v>8</v>
      </c>
      <c r="G307" s="24" t="s">
        <v>523</v>
      </c>
    </row>
    <row r="308" spans="2:7" hidden="1" x14ac:dyDescent="0.35">
      <c r="B308" s="20" t="s">
        <v>510</v>
      </c>
      <c r="C308" s="1" t="s">
        <v>160</v>
      </c>
      <c r="D308" s="1" t="s">
        <v>161</v>
      </c>
      <c r="E308" s="2">
        <v>36</v>
      </c>
      <c r="F308" s="1" t="s">
        <v>8</v>
      </c>
      <c r="G308" s="24" t="s">
        <v>523</v>
      </c>
    </row>
    <row r="309" spans="2:7" hidden="1" x14ac:dyDescent="0.35">
      <c r="B309" s="20" t="s">
        <v>510</v>
      </c>
      <c r="C309" s="1" t="s">
        <v>162</v>
      </c>
      <c r="D309" s="1" t="s">
        <v>163</v>
      </c>
      <c r="E309" s="2">
        <v>36</v>
      </c>
      <c r="F309" s="1" t="s">
        <v>8</v>
      </c>
      <c r="G309" s="24" t="s">
        <v>523</v>
      </c>
    </row>
    <row r="310" spans="2:7" hidden="1" x14ac:dyDescent="0.35">
      <c r="B310" s="20" t="s">
        <v>510</v>
      </c>
      <c r="C310" s="1" t="s">
        <v>164</v>
      </c>
      <c r="D310" s="1" t="s">
        <v>165</v>
      </c>
      <c r="E310" s="2">
        <v>845</v>
      </c>
      <c r="F310" s="1" t="s">
        <v>8</v>
      </c>
      <c r="G310" s="24" t="s">
        <v>523</v>
      </c>
    </row>
    <row r="311" spans="2:7" hidden="1" x14ac:dyDescent="0.35">
      <c r="B311" s="20" t="s">
        <v>510</v>
      </c>
      <c r="C311" s="1" t="s">
        <v>166</v>
      </c>
      <c r="D311" s="1" t="s">
        <v>167</v>
      </c>
      <c r="E311" s="2">
        <v>1048</v>
      </c>
      <c r="F311" s="1" t="s">
        <v>8</v>
      </c>
      <c r="G311" s="24" t="s">
        <v>523</v>
      </c>
    </row>
    <row r="312" spans="2:7" hidden="1" x14ac:dyDescent="0.35">
      <c r="B312" s="20" t="s">
        <v>510</v>
      </c>
      <c r="C312" s="1" t="s">
        <v>168</v>
      </c>
      <c r="D312" s="1" t="s">
        <v>169</v>
      </c>
      <c r="E312" s="2">
        <v>7676</v>
      </c>
      <c r="F312" s="1" t="s">
        <v>8</v>
      </c>
      <c r="G312" s="24" t="s">
        <v>514</v>
      </c>
    </row>
    <row r="313" spans="2:7" hidden="1" x14ac:dyDescent="0.35">
      <c r="B313" s="20" t="s">
        <v>510</v>
      </c>
      <c r="C313" s="1" t="s">
        <v>170</v>
      </c>
      <c r="D313" s="1" t="s">
        <v>171</v>
      </c>
      <c r="E313" s="2">
        <v>7881</v>
      </c>
      <c r="F313" s="1" t="s">
        <v>8</v>
      </c>
      <c r="G313" s="24" t="s">
        <v>514</v>
      </c>
    </row>
    <row r="314" spans="2:7" hidden="1" x14ac:dyDescent="0.35">
      <c r="B314" s="20" t="s">
        <v>510</v>
      </c>
      <c r="C314" s="1" t="s">
        <v>180</v>
      </c>
      <c r="D314" s="1" t="s">
        <v>181</v>
      </c>
      <c r="E314" s="2">
        <v>40</v>
      </c>
      <c r="F314" s="1" t="s">
        <v>8</v>
      </c>
      <c r="G314" s="24" t="s">
        <v>514</v>
      </c>
    </row>
    <row r="315" spans="2:7" hidden="1" x14ac:dyDescent="0.35">
      <c r="B315" s="20" t="s">
        <v>510</v>
      </c>
      <c r="C315" s="1" t="s">
        <v>182</v>
      </c>
      <c r="D315" s="1" t="s">
        <v>183</v>
      </c>
      <c r="E315" s="2">
        <v>40</v>
      </c>
      <c r="F315" s="1" t="s">
        <v>8</v>
      </c>
      <c r="G315" s="24" t="s">
        <v>514</v>
      </c>
    </row>
    <row r="316" spans="2:7" hidden="1" x14ac:dyDescent="0.35">
      <c r="B316" s="20" t="s">
        <v>510</v>
      </c>
      <c r="C316" s="1" t="s">
        <v>192</v>
      </c>
      <c r="D316" s="1" t="s">
        <v>193</v>
      </c>
      <c r="E316" s="2">
        <v>2008</v>
      </c>
      <c r="F316" s="1" t="s">
        <v>8</v>
      </c>
      <c r="G316" s="24" t="s">
        <v>514</v>
      </c>
    </row>
    <row r="317" spans="2:7" hidden="1" x14ac:dyDescent="0.35">
      <c r="B317" s="20" t="s">
        <v>510</v>
      </c>
      <c r="C317" s="1" t="s">
        <v>194</v>
      </c>
      <c r="D317" s="1" t="s">
        <v>195</v>
      </c>
      <c r="E317" s="2">
        <v>2012</v>
      </c>
      <c r="F317" s="1" t="s">
        <v>8</v>
      </c>
      <c r="G317" s="24" t="s">
        <v>514</v>
      </c>
    </row>
    <row r="318" spans="2:7" hidden="1" x14ac:dyDescent="0.35">
      <c r="B318" s="20" t="s">
        <v>510</v>
      </c>
      <c r="C318" s="1" t="s">
        <v>196</v>
      </c>
      <c r="D318" s="1" t="s">
        <v>197</v>
      </c>
      <c r="E318" s="2">
        <v>1100</v>
      </c>
      <c r="F318" s="1" t="s">
        <v>8</v>
      </c>
      <c r="G318" s="24" t="s">
        <v>514</v>
      </c>
    </row>
    <row r="319" spans="2:7" hidden="1" x14ac:dyDescent="0.35">
      <c r="B319" s="20" t="s">
        <v>510</v>
      </c>
      <c r="C319" s="1" t="s">
        <v>198</v>
      </c>
      <c r="D319" s="1" t="s">
        <v>199</v>
      </c>
      <c r="E319" s="2">
        <v>1100</v>
      </c>
      <c r="F319" s="1" t="s">
        <v>8</v>
      </c>
      <c r="G319" s="24" t="s">
        <v>514</v>
      </c>
    </row>
    <row r="320" spans="2:7" hidden="1" x14ac:dyDescent="0.35">
      <c r="B320" s="20" t="s">
        <v>510</v>
      </c>
      <c r="C320" s="1" t="s">
        <v>200</v>
      </c>
      <c r="D320" s="1" t="s">
        <v>201</v>
      </c>
      <c r="E320" s="2">
        <v>389</v>
      </c>
      <c r="F320" s="1" t="s">
        <v>8</v>
      </c>
      <c r="G320" s="24" t="s">
        <v>514</v>
      </c>
    </row>
    <row r="321" spans="2:7" hidden="1" x14ac:dyDescent="0.35">
      <c r="B321" s="20" t="s">
        <v>510</v>
      </c>
      <c r="C321" s="1" t="s">
        <v>202</v>
      </c>
      <c r="D321" s="1" t="s">
        <v>203</v>
      </c>
      <c r="E321" s="2">
        <v>389</v>
      </c>
      <c r="F321" s="1" t="s">
        <v>8</v>
      </c>
      <c r="G321" s="24" t="s">
        <v>514</v>
      </c>
    </row>
    <row r="322" spans="2:7" hidden="1" x14ac:dyDescent="0.35">
      <c r="B322" s="20" t="s">
        <v>510</v>
      </c>
      <c r="C322" s="1" t="s">
        <v>204</v>
      </c>
      <c r="D322" s="1" t="s">
        <v>205</v>
      </c>
      <c r="E322" s="2">
        <v>405</v>
      </c>
      <c r="F322" s="1" t="s">
        <v>8</v>
      </c>
      <c r="G322" s="24" t="s">
        <v>514</v>
      </c>
    </row>
    <row r="323" spans="2:7" hidden="1" x14ac:dyDescent="0.35">
      <c r="B323" s="20" t="s">
        <v>510</v>
      </c>
      <c r="C323" s="1" t="s">
        <v>206</v>
      </c>
      <c r="D323" s="1" t="s">
        <v>207</v>
      </c>
      <c r="E323" s="2">
        <v>405</v>
      </c>
      <c r="F323" s="1" t="s">
        <v>8</v>
      </c>
      <c r="G323" s="24" t="s">
        <v>514</v>
      </c>
    </row>
    <row r="324" spans="2:7" hidden="1" x14ac:dyDescent="0.35">
      <c r="B324" s="20" t="s">
        <v>510</v>
      </c>
      <c r="C324" s="1" t="s">
        <v>226</v>
      </c>
      <c r="D324" s="1" t="s">
        <v>227</v>
      </c>
      <c r="E324" s="2">
        <v>66</v>
      </c>
      <c r="F324" s="1" t="s">
        <v>8</v>
      </c>
      <c r="G324" s="24" t="s">
        <v>524</v>
      </c>
    </row>
    <row r="325" spans="2:7" hidden="1" x14ac:dyDescent="0.35">
      <c r="B325" s="20" t="s">
        <v>510</v>
      </c>
      <c r="C325" s="1" t="s">
        <v>230</v>
      </c>
      <c r="D325" s="1" t="s">
        <v>231</v>
      </c>
      <c r="E325" s="2">
        <v>200</v>
      </c>
      <c r="F325" s="1" t="s">
        <v>8</v>
      </c>
      <c r="G325" s="24" t="s">
        <v>524</v>
      </c>
    </row>
    <row r="326" spans="2:7" hidden="1" x14ac:dyDescent="0.35">
      <c r="B326" s="20" t="s">
        <v>510</v>
      </c>
      <c r="C326" s="1" t="s">
        <v>242</v>
      </c>
      <c r="D326" s="1" t="s">
        <v>243</v>
      </c>
      <c r="E326" s="2">
        <v>205</v>
      </c>
      <c r="F326" s="1" t="s">
        <v>8</v>
      </c>
      <c r="G326" s="24" t="s">
        <v>524</v>
      </c>
    </row>
    <row r="327" spans="2:7" hidden="1" x14ac:dyDescent="0.35">
      <c r="B327" s="20" t="s">
        <v>510</v>
      </c>
      <c r="C327" s="1" t="s">
        <v>244</v>
      </c>
      <c r="D327" s="1" t="s">
        <v>245</v>
      </c>
      <c r="E327" s="2">
        <v>70</v>
      </c>
      <c r="F327" s="1" t="s">
        <v>8</v>
      </c>
      <c r="G327" s="24" t="s">
        <v>524</v>
      </c>
    </row>
    <row r="328" spans="2:7" hidden="1" x14ac:dyDescent="0.35">
      <c r="B328" s="20" t="s">
        <v>510</v>
      </c>
      <c r="C328" s="1" t="s">
        <v>246</v>
      </c>
      <c r="D328" s="1" t="s">
        <v>247</v>
      </c>
      <c r="E328" s="2">
        <v>66</v>
      </c>
      <c r="F328" s="1" t="s">
        <v>8</v>
      </c>
      <c r="G328" s="24" t="s">
        <v>524</v>
      </c>
    </row>
    <row r="329" spans="2:7" hidden="1" x14ac:dyDescent="0.35">
      <c r="B329" s="20" t="s">
        <v>510</v>
      </c>
      <c r="C329" s="1" t="s">
        <v>248</v>
      </c>
      <c r="D329" s="1" t="s">
        <v>249</v>
      </c>
      <c r="E329" s="2">
        <v>72</v>
      </c>
      <c r="F329" s="1" t="s">
        <v>8</v>
      </c>
      <c r="G329" s="24" t="s">
        <v>524</v>
      </c>
    </row>
    <row r="330" spans="2:7" hidden="1" x14ac:dyDescent="0.35">
      <c r="B330" s="20" t="s">
        <v>510</v>
      </c>
      <c r="C330" s="1" t="s">
        <v>250</v>
      </c>
      <c r="D330" s="1" t="s">
        <v>251</v>
      </c>
      <c r="E330" s="2">
        <v>72</v>
      </c>
      <c r="F330" s="1" t="s">
        <v>8</v>
      </c>
      <c r="G330" s="24" t="s">
        <v>524</v>
      </c>
    </row>
    <row r="331" spans="2:7" hidden="1" x14ac:dyDescent="0.35">
      <c r="B331" s="20" t="s">
        <v>510</v>
      </c>
      <c r="C331" s="1" t="s">
        <v>254</v>
      </c>
      <c r="D331" s="1" t="s">
        <v>255</v>
      </c>
      <c r="E331" s="2">
        <v>88</v>
      </c>
      <c r="F331" s="1" t="s">
        <v>8</v>
      </c>
      <c r="G331" s="24" t="s">
        <v>525</v>
      </c>
    </row>
    <row r="332" spans="2:7" hidden="1" x14ac:dyDescent="0.35">
      <c r="B332" s="20" t="s">
        <v>510</v>
      </c>
      <c r="C332" s="1" t="s">
        <v>256</v>
      </c>
      <c r="D332" s="1" t="s">
        <v>257</v>
      </c>
      <c r="E332" s="2">
        <v>351</v>
      </c>
      <c r="F332" s="1" t="s">
        <v>8</v>
      </c>
      <c r="G332" s="24" t="s">
        <v>524</v>
      </c>
    </row>
    <row r="333" spans="2:7" hidden="1" x14ac:dyDescent="0.35">
      <c r="B333" s="20" t="s">
        <v>510</v>
      </c>
      <c r="C333" s="1" t="s">
        <v>258</v>
      </c>
      <c r="D333" s="1" t="s">
        <v>259</v>
      </c>
      <c r="E333" s="2">
        <v>487</v>
      </c>
      <c r="F333" s="1" t="s">
        <v>8</v>
      </c>
      <c r="G333" s="24" t="s">
        <v>524</v>
      </c>
    </row>
    <row r="334" spans="2:7" hidden="1" x14ac:dyDescent="0.35">
      <c r="B334" s="20" t="s">
        <v>510</v>
      </c>
      <c r="C334" s="1" t="s">
        <v>260</v>
      </c>
      <c r="D334" s="1" t="s">
        <v>261</v>
      </c>
      <c r="E334" s="2">
        <v>90</v>
      </c>
      <c r="F334" s="1" t="s">
        <v>8</v>
      </c>
      <c r="G334" s="24" t="s">
        <v>524</v>
      </c>
    </row>
    <row r="335" spans="2:7" hidden="1" x14ac:dyDescent="0.35">
      <c r="B335" s="20" t="s">
        <v>510</v>
      </c>
      <c r="C335" s="1" t="s">
        <v>270</v>
      </c>
      <c r="D335" s="1" t="s">
        <v>271</v>
      </c>
      <c r="E335" s="2">
        <v>82</v>
      </c>
      <c r="F335" s="1" t="s">
        <v>8</v>
      </c>
      <c r="G335" s="24" t="s">
        <v>524</v>
      </c>
    </row>
    <row r="336" spans="2:7" hidden="1" x14ac:dyDescent="0.35">
      <c r="B336" s="20" t="s">
        <v>510</v>
      </c>
      <c r="C336" s="1" t="s">
        <v>274</v>
      </c>
      <c r="D336" s="1" t="s">
        <v>275</v>
      </c>
      <c r="E336" s="2">
        <v>1815</v>
      </c>
      <c r="F336" s="1" t="s">
        <v>8</v>
      </c>
      <c r="G336" s="24" t="s">
        <v>524</v>
      </c>
    </row>
    <row r="337" spans="2:7" hidden="1" x14ac:dyDescent="0.35">
      <c r="B337" s="20" t="s">
        <v>510</v>
      </c>
      <c r="C337" s="1" t="s">
        <v>278</v>
      </c>
      <c r="D337" s="1" t="s">
        <v>279</v>
      </c>
      <c r="E337" s="2">
        <v>1520</v>
      </c>
      <c r="F337" s="1" t="s">
        <v>8</v>
      </c>
      <c r="G337" s="24" t="s">
        <v>526</v>
      </c>
    </row>
    <row r="338" spans="2:7" hidden="1" x14ac:dyDescent="0.35">
      <c r="B338" s="20" t="s">
        <v>510</v>
      </c>
      <c r="C338" s="1" t="s">
        <v>280</v>
      </c>
      <c r="D338" s="1" t="s">
        <v>281</v>
      </c>
      <c r="E338" s="2">
        <v>2020</v>
      </c>
      <c r="F338" s="1" t="s">
        <v>8</v>
      </c>
      <c r="G338" s="24" t="s">
        <v>526</v>
      </c>
    </row>
    <row r="339" spans="2:7" hidden="1" x14ac:dyDescent="0.35">
      <c r="B339" s="20" t="s">
        <v>510</v>
      </c>
      <c r="C339" s="1" t="s">
        <v>282</v>
      </c>
      <c r="D339" s="1" t="s">
        <v>283</v>
      </c>
      <c r="E339" s="2">
        <v>190</v>
      </c>
      <c r="F339" s="1" t="s">
        <v>8</v>
      </c>
      <c r="G339" s="24" t="s">
        <v>526</v>
      </c>
    </row>
    <row r="340" spans="2:7" hidden="1" x14ac:dyDescent="0.35">
      <c r="B340" s="20" t="s">
        <v>510</v>
      </c>
      <c r="C340" s="1" t="s">
        <v>284</v>
      </c>
      <c r="D340" s="1" t="s">
        <v>285</v>
      </c>
      <c r="E340" s="2">
        <v>7790</v>
      </c>
      <c r="F340" s="1" t="s">
        <v>8</v>
      </c>
      <c r="G340" s="24" t="s">
        <v>526</v>
      </c>
    </row>
    <row r="341" spans="2:7" hidden="1" x14ac:dyDescent="0.35">
      <c r="B341" s="20" t="s">
        <v>510</v>
      </c>
      <c r="C341" s="1" t="s">
        <v>288</v>
      </c>
      <c r="D341" s="1" t="s">
        <v>289</v>
      </c>
      <c r="E341" s="2">
        <v>1000</v>
      </c>
      <c r="F341" s="1" t="s">
        <v>8</v>
      </c>
      <c r="G341" s="24" t="s">
        <v>526</v>
      </c>
    </row>
    <row r="342" spans="2:7" hidden="1" x14ac:dyDescent="0.35">
      <c r="B342" s="20" t="s">
        <v>510</v>
      </c>
      <c r="C342" s="1" t="s">
        <v>290</v>
      </c>
      <c r="D342" s="1" t="s">
        <v>291</v>
      </c>
      <c r="E342" s="2">
        <v>1600</v>
      </c>
      <c r="F342" s="1" t="s">
        <v>8</v>
      </c>
      <c r="G342" s="24" t="s">
        <v>526</v>
      </c>
    </row>
    <row r="343" spans="2:7" hidden="1" x14ac:dyDescent="0.35">
      <c r="B343" s="20" t="s">
        <v>510</v>
      </c>
      <c r="C343" s="1" t="s">
        <v>292</v>
      </c>
      <c r="D343" s="1" t="s">
        <v>293</v>
      </c>
      <c r="E343" s="2">
        <v>200</v>
      </c>
      <c r="F343" s="1" t="s">
        <v>8</v>
      </c>
      <c r="G343" s="24" t="s">
        <v>526</v>
      </c>
    </row>
    <row r="344" spans="2:7" hidden="1" x14ac:dyDescent="0.35">
      <c r="B344" s="20" t="s">
        <v>510</v>
      </c>
      <c r="C344" s="1" t="s">
        <v>294</v>
      </c>
      <c r="D344" s="1" t="s">
        <v>295</v>
      </c>
      <c r="E344" s="2">
        <v>7800</v>
      </c>
      <c r="F344" s="1" t="s">
        <v>8</v>
      </c>
      <c r="G344" s="24" t="s">
        <v>526</v>
      </c>
    </row>
    <row r="345" spans="2:7" hidden="1" x14ac:dyDescent="0.35">
      <c r="B345" s="20" t="s">
        <v>510</v>
      </c>
      <c r="C345" s="1" t="s">
        <v>304</v>
      </c>
      <c r="D345" s="1" t="s">
        <v>305</v>
      </c>
      <c r="E345" s="2">
        <v>1891</v>
      </c>
      <c r="F345" s="1" t="s">
        <v>8</v>
      </c>
      <c r="G345" s="24" t="s">
        <v>527</v>
      </c>
    </row>
    <row r="346" spans="2:7" hidden="1" x14ac:dyDescent="0.35">
      <c r="B346" s="20" t="s">
        <v>510</v>
      </c>
      <c r="C346" s="1" t="s">
        <v>306</v>
      </c>
      <c r="D346" s="1" t="s">
        <v>307</v>
      </c>
      <c r="E346" s="2">
        <v>1300</v>
      </c>
      <c r="F346" s="1" t="s">
        <v>8</v>
      </c>
      <c r="G346" s="24" t="s">
        <v>527</v>
      </c>
    </row>
    <row r="347" spans="2:7" hidden="1" x14ac:dyDescent="0.35">
      <c r="B347" s="20" t="s">
        <v>510</v>
      </c>
      <c r="C347" s="1" t="s">
        <v>312</v>
      </c>
      <c r="D347" s="1" t="s">
        <v>313</v>
      </c>
      <c r="E347" s="2">
        <v>260</v>
      </c>
      <c r="F347" s="1" t="s">
        <v>8</v>
      </c>
      <c r="G347" s="24" t="s">
        <v>527</v>
      </c>
    </row>
    <row r="348" spans="2:7" hidden="1" x14ac:dyDescent="0.35">
      <c r="B348" s="20" t="s">
        <v>510</v>
      </c>
      <c r="C348" s="1" t="s">
        <v>314</v>
      </c>
      <c r="D348" s="1" t="s">
        <v>315</v>
      </c>
      <c r="E348" s="2">
        <v>824</v>
      </c>
      <c r="F348" s="1" t="s">
        <v>8</v>
      </c>
      <c r="G348" s="24" t="s">
        <v>527</v>
      </c>
    </row>
    <row r="349" spans="2:7" hidden="1" x14ac:dyDescent="0.35">
      <c r="B349" s="20" t="s">
        <v>510</v>
      </c>
      <c r="C349" s="1" t="s">
        <v>316</v>
      </c>
      <c r="D349" s="1" t="s">
        <v>317</v>
      </c>
      <c r="E349" s="2">
        <v>150</v>
      </c>
      <c r="F349" s="1" t="s">
        <v>8</v>
      </c>
      <c r="G349" s="24" t="s">
        <v>527</v>
      </c>
    </row>
    <row r="350" spans="2:7" hidden="1" x14ac:dyDescent="0.35">
      <c r="B350" s="20" t="s">
        <v>510</v>
      </c>
      <c r="C350" s="1" t="s">
        <v>528</v>
      </c>
      <c r="D350" s="1" t="s">
        <v>529</v>
      </c>
      <c r="E350" s="2">
        <v>20</v>
      </c>
      <c r="F350" s="1" t="s">
        <v>8</v>
      </c>
      <c r="G350" s="24" t="s">
        <v>527</v>
      </c>
    </row>
    <row r="351" spans="2:7" x14ac:dyDescent="0.35">
      <c r="B351" s="20" t="s">
        <v>510</v>
      </c>
      <c r="C351" s="1" t="s">
        <v>324</v>
      </c>
      <c r="D351" s="1" t="s">
        <v>325</v>
      </c>
      <c r="E351" s="2">
        <v>50</v>
      </c>
      <c r="F351" s="1" t="s">
        <v>8</v>
      </c>
      <c r="G351" s="24" t="s">
        <v>530</v>
      </c>
    </row>
    <row r="352" spans="2:7" x14ac:dyDescent="0.35">
      <c r="B352" s="20" t="s">
        <v>510</v>
      </c>
      <c r="C352" s="1" t="s">
        <v>326</v>
      </c>
      <c r="D352" s="1" t="s">
        <v>327</v>
      </c>
      <c r="E352" s="2">
        <v>72</v>
      </c>
      <c r="F352" s="1" t="s">
        <v>8</v>
      </c>
      <c r="G352" s="24" t="s">
        <v>530</v>
      </c>
    </row>
    <row r="353" spans="2:7" x14ac:dyDescent="0.35">
      <c r="B353" s="20" t="s">
        <v>510</v>
      </c>
      <c r="C353" s="1" t="s">
        <v>332</v>
      </c>
      <c r="D353" s="1" t="s">
        <v>333</v>
      </c>
      <c r="E353" s="2">
        <v>51700</v>
      </c>
      <c r="F353" s="1" t="s">
        <v>8</v>
      </c>
      <c r="G353" s="24" t="s">
        <v>530</v>
      </c>
    </row>
    <row r="354" spans="2:7" x14ac:dyDescent="0.35">
      <c r="B354" s="20" t="s">
        <v>510</v>
      </c>
      <c r="C354" s="1" t="s">
        <v>334</v>
      </c>
      <c r="D354" s="1" t="s">
        <v>335</v>
      </c>
      <c r="E354" s="2">
        <v>1998</v>
      </c>
      <c r="F354" s="1" t="s">
        <v>8</v>
      </c>
      <c r="G354" s="24" t="s">
        <v>530</v>
      </c>
    </row>
    <row r="355" spans="2:7" x14ac:dyDescent="0.35">
      <c r="B355" s="20" t="s">
        <v>510</v>
      </c>
      <c r="C355" s="1" t="s">
        <v>336</v>
      </c>
      <c r="D355" s="1" t="s">
        <v>337</v>
      </c>
      <c r="E355" s="2">
        <v>3563</v>
      </c>
      <c r="F355" s="1" t="s">
        <v>8</v>
      </c>
      <c r="G355" s="24" t="s">
        <v>530</v>
      </c>
    </row>
    <row r="356" spans="2:7" x14ac:dyDescent="0.35">
      <c r="B356" s="20" t="s">
        <v>510</v>
      </c>
      <c r="C356" s="1" t="s">
        <v>338</v>
      </c>
      <c r="D356" s="1" t="s">
        <v>339</v>
      </c>
      <c r="E356" s="2">
        <v>5166</v>
      </c>
      <c r="F356" s="1" t="s">
        <v>8</v>
      </c>
      <c r="G356" s="24" t="s">
        <v>530</v>
      </c>
    </row>
    <row r="357" spans="2:7" x14ac:dyDescent="0.35">
      <c r="B357" s="20" t="s">
        <v>510</v>
      </c>
      <c r="C357" s="1" t="s">
        <v>340</v>
      </c>
      <c r="D357" s="1" t="s">
        <v>341</v>
      </c>
      <c r="E357" s="2">
        <v>7252</v>
      </c>
      <c r="F357" s="1" t="s">
        <v>8</v>
      </c>
      <c r="G357" s="24" t="s">
        <v>530</v>
      </c>
    </row>
    <row r="358" spans="2:7" x14ac:dyDescent="0.35">
      <c r="B358" s="20" t="s">
        <v>510</v>
      </c>
      <c r="C358" s="1" t="s">
        <v>342</v>
      </c>
      <c r="D358" s="1" t="s">
        <v>343</v>
      </c>
      <c r="E358" s="2">
        <v>3935</v>
      </c>
      <c r="F358" s="1" t="s">
        <v>8</v>
      </c>
      <c r="G358" s="24" t="s">
        <v>530</v>
      </c>
    </row>
    <row r="359" spans="2:7" x14ac:dyDescent="0.35">
      <c r="B359" s="20" t="s">
        <v>510</v>
      </c>
      <c r="C359" s="1" t="s">
        <v>344</v>
      </c>
      <c r="D359" s="1" t="s">
        <v>345</v>
      </c>
      <c r="E359" s="2">
        <v>1080</v>
      </c>
      <c r="F359" s="1" t="s">
        <v>8</v>
      </c>
      <c r="G359" s="24" t="s">
        <v>530</v>
      </c>
    </row>
    <row r="360" spans="2:7" x14ac:dyDescent="0.35">
      <c r="B360" s="20" t="s">
        <v>510</v>
      </c>
      <c r="C360" s="1" t="s">
        <v>346</v>
      </c>
      <c r="D360" s="1" t="s">
        <v>347</v>
      </c>
      <c r="E360" s="2">
        <v>3300</v>
      </c>
      <c r="F360" s="1" t="s">
        <v>8</v>
      </c>
      <c r="G360" s="24" t="s">
        <v>531</v>
      </c>
    </row>
    <row r="361" spans="2:7" x14ac:dyDescent="0.35">
      <c r="B361" s="20" t="s">
        <v>510</v>
      </c>
      <c r="C361" s="1" t="s">
        <v>348</v>
      </c>
      <c r="D361" s="1" t="s">
        <v>349</v>
      </c>
      <c r="E361" s="2">
        <v>13200</v>
      </c>
      <c r="F361" s="1" t="s">
        <v>8</v>
      </c>
      <c r="G361" s="24" t="s">
        <v>531</v>
      </c>
    </row>
    <row r="362" spans="2:7" hidden="1" x14ac:dyDescent="0.35">
      <c r="B362" s="20" t="s">
        <v>510</v>
      </c>
      <c r="C362" s="1" t="s">
        <v>354</v>
      </c>
      <c r="D362" s="1" t="s">
        <v>355</v>
      </c>
      <c r="E362" s="2">
        <v>30</v>
      </c>
      <c r="F362" s="1" t="s">
        <v>8</v>
      </c>
      <c r="G362" s="24" t="s">
        <v>530</v>
      </c>
    </row>
    <row r="363" spans="2:7" hidden="1" x14ac:dyDescent="0.35">
      <c r="B363" s="20" t="s">
        <v>510</v>
      </c>
      <c r="C363" s="1" t="s">
        <v>356</v>
      </c>
      <c r="D363" s="1" t="s">
        <v>357</v>
      </c>
      <c r="E363" s="2">
        <v>2700</v>
      </c>
      <c r="F363" s="1" t="s">
        <v>8</v>
      </c>
      <c r="G363" s="24" t="s">
        <v>530</v>
      </c>
    </row>
    <row r="364" spans="2:7" hidden="1" x14ac:dyDescent="0.35">
      <c r="B364" s="20" t="s">
        <v>510</v>
      </c>
      <c r="C364" s="1" t="s">
        <v>358</v>
      </c>
      <c r="D364" s="1" t="s">
        <v>359</v>
      </c>
      <c r="E364" s="2">
        <v>25920</v>
      </c>
      <c r="F364" s="1" t="s">
        <v>8</v>
      </c>
      <c r="G364" s="24" t="s">
        <v>530</v>
      </c>
    </row>
    <row r="365" spans="2:7" hidden="1" x14ac:dyDescent="0.35">
      <c r="B365" s="20" t="s">
        <v>510</v>
      </c>
      <c r="C365" s="1" t="s">
        <v>360</v>
      </c>
      <c r="D365" s="1" t="s">
        <v>361</v>
      </c>
      <c r="E365" s="2">
        <v>10500</v>
      </c>
      <c r="F365" s="1" t="s">
        <v>8</v>
      </c>
      <c r="G365" s="24" t="s">
        <v>531</v>
      </c>
    </row>
    <row r="366" spans="2:7" hidden="1" x14ac:dyDescent="0.35">
      <c r="B366" s="20" t="s">
        <v>510</v>
      </c>
      <c r="C366" s="1" t="s">
        <v>362</v>
      </c>
      <c r="D366" s="1" t="s">
        <v>363</v>
      </c>
      <c r="E366" s="2">
        <v>2000</v>
      </c>
      <c r="F366" s="1" t="s">
        <v>8</v>
      </c>
      <c r="G366" s="24" t="s">
        <v>531</v>
      </c>
    </row>
    <row r="367" spans="2:7" hidden="1" x14ac:dyDescent="0.35">
      <c r="B367" s="20" t="s">
        <v>510</v>
      </c>
      <c r="C367" s="1" t="s">
        <v>364</v>
      </c>
      <c r="D367" s="1" t="s">
        <v>365</v>
      </c>
      <c r="E367" s="2">
        <v>44562</v>
      </c>
      <c r="F367" s="1" t="s">
        <v>8</v>
      </c>
      <c r="G367" s="24" t="s">
        <v>531</v>
      </c>
    </row>
    <row r="368" spans="2:7" hidden="1" x14ac:dyDescent="0.35">
      <c r="B368" s="20" t="s">
        <v>510</v>
      </c>
      <c r="C368" s="1" t="s">
        <v>366</v>
      </c>
      <c r="D368" s="1" t="s">
        <v>367</v>
      </c>
      <c r="E368" s="2">
        <v>4080</v>
      </c>
      <c r="F368" s="1" t="s">
        <v>8</v>
      </c>
      <c r="G368" s="24" t="s">
        <v>531</v>
      </c>
    </row>
    <row r="369" spans="2:7" hidden="1" x14ac:dyDescent="0.35">
      <c r="B369" s="20" t="s">
        <v>510</v>
      </c>
      <c r="C369" s="1" t="s">
        <v>368</v>
      </c>
      <c r="D369" s="1" t="s">
        <v>369</v>
      </c>
      <c r="E369" s="2">
        <v>600</v>
      </c>
      <c r="F369" s="1" t="s">
        <v>8</v>
      </c>
      <c r="G369" s="24" t="s">
        <v>531</v>
      </c>
    </row>
    <row r="370" spans="2:7" hidden="1" x14ac:dyDescent="0.35">
      <c r="B370" s="20" t="s">
        <v>510</v>
      </c>
      <c r="C370" s="1" t="s">
        <v>370</v>
      </c>
      <c r="D370" s="1" t="s">
        <v>371</v>
      </c>
      <c r="E370" s="2">
        <v>26000</v>
      </c>
      <c r="F370" s="1" t="s">
        <v>8</v>
      </c>
      <c r="G370" s="24" t="s">
        <v>531</v>
      </c>
    </row>
    <row r="371" spans="2:7" hidden="1" x14ac:dyDescent="0.35">
      <c r="B371" s="20" t="s">
        <v>510</v>
      </c>
      <c r="C371" s="1" t="s">
        <v>372</v>
      </c>
      <c r="D371" s="1" t="s">
        <v>373</v>
      </c>
      <c r="E371" s="2">
        <v>47000</v>
      </c>
      <c r="F371" s="1" t="s">
        <v>8</v>
      </c>
      <c r="G371" s="24" t="s">
        <v>531</v>
      </c>
    </row>
    <row r="372" spans="2:7" hidden="1" x14ac:dyDescent="0.35">
      <c r="B372" s="20" t="s">
        <v>510</v>
      </c>
      <c r="C372" s="1" t="s">
        <v>374</v>
      </c>
      <c r="D372" s="1" t="s">
        <v>375</v>
      </c>
      <c r="E372" s="2">
        <v>6100</v>
      </c>
      <c r="F372" s="1" t="s">
        <v>8</v>
      </c>
      <c r="G372" s="24" t="s">
        <v>531</v>
      </c>
    </row>
    <row r="373" spans="2:7" hidden="1" x14ac:dyDescent="0.35">
      <c r="B373" s="20" t="s">
        <v>510</v>
      </c>
      <c r="C373" s="1" t="s">
        <v>376</v>
      </c>
      <c r="D373" s="1" t="s">
        <v>377</v>
      </c>
      <c r="E373" s="2">
        <v>1750</v>
      </c>
      <c r="F373" s="1" t="s">
        <v>8</v>
      </c>
      <c r="G373" s="24" t="s">
        <v>531</v>
      </c>
    </row>
    <row r="374" spans="2:7" hidden="1" x14ac:dyDescent="0.35">
      <c r="B374" s="20" t="s">
        <v>510</v>
      </c>
      <c r="C374" s="1" t="s">
        <v>378</v>
      </c>
      <c r="D374" s="1" t="s">
        <v>379</v>
      </c>
      <c r="E374" s="2">
        <v>2400</v>
      </c>
      <c r="F374" s="1" t="s">
        <v>8</v>
      </c>
      <c r="G374" s="24" t="s">
        <v>530</v>
      </c>
    </row>
    <row r="375" spans="2:7" hidden="1" x14ac:dyDescent="0.35">
      <c r="B375" s="20" t="s">
        <v>510</v>
      </c>
      <c r="C375" s="1" t="s">
        <v>380</v>
      </c>
      <c r="D375" s="1" t="s">
        <v>381</v>
      </c>
      <c r="E375" s="2">
        <v>6000</v>
      </c>
      <c r="F375" s="1" t="s">
        <v>8</v>
      </c>
      <c r="G375" s="24" t="s">
        <v>530</v>
      </c>
    </row>
    <row r="376" spans="2:7" hidden="1" x14ac:dyDescent="0.35">
      <c r="B376" s="20" t="s">
        <v>510</v>
      </c>
      <c r="C376" s="1" t="s">
        <v>382</v>
      </c>
      <c r="D376" s="1" t="s">
        <v>383</v>
      </c>
      <c r="E376" s="2">
        <v>24680</v>
      </c>
      <c r="F376" s="1" t="s">
        <v>8</v>
      </c>
      <c r="G376" s="24" t="s">
        <v>530</v>
      </c>
    </row>
    <row r="377" spans="2:7" hidden="1" x14ac:dyDescent="0.35">
      <c r="B377" s="20" t="s">
        <v>510</v>
      </c>
      <c r="C377" s="1" t="s">
        <v>386</v>
      </c>
      <c r="D377" s="1" t="s">
        <v>387</v>
      </c>
      <c r="E377" s="2">
        <v>60</v>
      </c>
      <c r="F377" s="1" t="s">
        <v>8</v>
      </c>
      <c r="G377" s="24" t="s">
        <v>532</v>
      </c>
    </row>
    <row r="378" spans="2:7" hidden="1" x14ac:dyDescent="0.35">
      <c r="B378" s="20" t="s">
        <v>510</v>
      </c>
      <c r="C378" s="1" t="s">
        <v>388</v>
      </c>
      <c r="D378" s="1" t="s">
        <v>389</v>
      </c>
      <c r="E378" s="2">
        <v>60</v>
      </c>
      <c r="F378" s="1" t="s">
        <v>8</v>
      </c>
      <c r="G378" s="24" t="s">
        <v>532</v>
      </c>
    </row>
    <row r="379" spans="2:7" hidden="1" x14ac:dyDescent="0.35">
      <c r="B379" s="20" t="s">
        <v>510</v>
      </c>
      <c r="C379" s="1" t="s">
        <v>390</v>
      </c>
      <c r="D379" s="1" t="s">
        <v>391</v>
      </c>
      <c r="E379" s="2">
        <v>935</v>
      </c>
      <c r="F379" s="1" t="s">
        <v>8</v>
      </c>
      <c r="G379" s="24" t="s">
        <v>532</v>
      </c>
    </row>
    <row r="380" spans="2:7" hidden="1" x14ac:dyDescent="0.35">
      <c r="B380" s="20" t="s">
        <v>510</v>
      </c>
      <c r="C380" s="1" t="s">
        <v>392</v>
      </c>
      <c r="D380" s="1" t="s">
        <v>393</v>
      </c>
      <c r="E380" s="2">
        <v>111</v>
      </c>
      <c r="F380" s="1" t="s">
        <v>8</v>
      </c>
      <c r="G380" s="24" t="s">
        <v>532</v>
      </c>
    </row>
    <row r="381" spans="2:7" hidden="1" x14ac:dyDescent="0.35">
      <c r="B381" s="20" t="s">
        <v>510</v>
      </c>
      <c r="C381" s="1" t="s">
        <v>396</v>
      </c>
      <c r="D381" s="1" t="s">
        <v>397</v>
      </c>
      <c r="E381" s="2">
        <v>735</v>
      </c>
      <c r="F381" s="1" t="s">
        <v>8</v>
      </c>
      <c r="G381" s="24" t="s">
        <v>532</v>
      </c>
    </row>
    <row r="382" spans="2:7" hidden="1" x14ac:dyDescent="0.35">
      <c r="B382" s="20" t="s">
        <v>510</v>
      </c>
      <c r="C382" s="1" t="s">
        <v>398</v>
      </c>
      <c r="D382" s="1" t="s">
        <v>399</v>
      </c>
      <c r="E382" s="2">
        <v>2</v>
      </c>
      <c r="F382" s="1" t="s">
        <v>8</v>
      </c>
      <c r="G382" s="24" t="s">
        <v>532</v>
      </c>
    </row>
    <row r="383" spans="2:7" hidden="1" x14ac:dyDescent="0.35">
      <c r="B383" s="20" t="s">
        <v>510</v>
      </c>
      <c r="C383" s="1" t="s">
        <v>400</v>
      </c>
      <c r="D383" s="1" t="s">
        <v>401</v>
      </c>
      <c r="E383" s="2">
        <v>570</v>
      </c>
      <c r="F383" s="1" t="s">
        <v>8</v>
      </c>
      <c r="G383" s="24" t="s">
        <v>532</v>
      </c>
    </row>
    <row r="384" spans="2:7" hidden="1" x14ac:dyDescent="0.35">
      <c r="B384" s="20" t="s">
        <v>510</v>
      </c>
      <c r="C384" s="1" t="s">
        <v>402</v>
      </c>
      <c r="D384" s="1" t="s">
        <v>403</v>
      </c>
      <c r="E384" s="2">
        <v>59</v>
      </c>
      <c r="F384" s="1" t="s">
        <v>8</v>
      </c>
      <c r="G384" s="24" t="s">
        <v>532</v>
      </c>
    </row>
    <row r="385" spans="2:7" hidden="1" x14ac:dyDescent="0.35">
      <c r="B385" s="20" t="s">
        <v>510</v>
      </c>
      <c r="C385" s="1" t="s">
        <v>404</v>
      </c>
      <c r="D385" s="1" t="s">
        <v>405</v>
      </c>
      <c r="E385" s="2">
        <v>300</v>
      </c>
      <c r="F385" s="1" t="s">
        <v>8</v>
      </c>
      <c r="G385" s="24" t="s">
        <v>532</v>
      </c>
    </row>
    <row r="386" spans="2:7" hidden="1" x14ac:dyDescent="0.35">
      <c r="B386" s="20" t="s">
        <v>510</v>
      </c>
      <c r="C386" s="1" t="s">
        <v>408</v>
      </c>
      <c r="D386" s="1" t="s">
        <v>409</v>
      </c>
      <c r="E386" s="2">
        <v>46</v>
      </c>
      <c r="F386" s="1" t="s">
        <v>8</v>
      </c>
      <c r="G386" s="24" t="s">
        <v>532</v>
      </c>
    </row>
    <row r="387" spans="2:7" hidden="1" x14ac:dyDescent="0.35">
      <c r="B387" s="20" t="s">
        <v>510</v>
      </c>
      <c r="C387" s="1" t="s">
        <v>410</v>
      </c>
      <c r="D387" s="1" t="s">
        <v>411</v>
      </c>
      <c r="E387" s="2">
        <v>46</v>
      </c>
      <c r="F387" s="1" t="s">
        <v>8</v>
      </c>
      <c r="G387" s="24" t="s">
        <v>532</v>
      </c>
    </row>
    <row r="388" spans="2:7" hidden="1" x14ac:dyDescent="0.35">
      <c r="B388" s="20" t="s">
        <v>510</v>
      </c>
      <c r="C388" s="1" t="s">
        <v>414</v>
      </c>
      <c r="D388" s="1" t="s">
        <v>415</v>
      </c>
      <c r="E388" s="2">
        <v>14</v>
      </c>
      <c r="F388" s="1" t="s">
        <v>8</v>
      </c>
      <c r="G388" s="24" t="s">
        <v>532</v>
      </c>
    </row>
    <row r="389" spans="2:7" hidden="1" x14ac:dyDescent="0.35">
      <c r="B389" s="20" t="s">
        <v>510</v>
      </c>
      <c r="C389" s="1" t="s">
        <v>418</v>
      </c>
      <c r="D389" s="1" t="s">
        <v>419</v>
      </c>
      <c r="E389" s="2">
        <v>184</v>
      </c>
      <c r="F389" s="1" t="s">
        <v>8</v>
      </c>
      <c r="G389" s="24" t="s">
        <v>532</v>
      </c>
    </row>
    <row r="390" spans="2:7" hidden="1" x14ac:dyDescent="0.35">
      <c r="B390" s="20" t="s">
        <v>510</v>
      </c>
      <c r="C390" s="1" t="s">
        <v>420</v>
      </c>
      <c r="D390" s="1" t="s">
        <v>421</v>
      </c>
      <c r="E390" s="2">
        <v>60</v>
      </c>
      <c r="F390" s="1" t="s">
        <v>8</v>
      </c>
      <c r="G390" s="24" t="s">
        <v>532</v>
      </c>
    </row>
    <row r="391" spans="2:7" hidden="1" x14ac:dyDescent="0.35">
      <c r="B391" s="20" t="s">
        <v>510</v>
      </c>
      <c r="C391" s="1" t="s">
        <v>426</v>
      </c>
      <c r="D391" s="1" t="s">
        <v>427</v>
      </c>
      <c r="E391" s="2">
        <v>20</v>
      </c>
      <c r="F391" s="1" t="s">
        <v>8</v>
      </c>
      <c r="G391" s="24" t="s">
        <v>532</v>
      </c>
    </row>
    <row r="392" spans="2:7" hidden="1" x14ac:dyDescent="0.35">
      <c r="B392" s="20" t="s">
        <v>510</v>
      </c>
      <c r="C392" s="1" t="s">
        <v>428</v>
      </c>
      <c r="D392" s="1" t="s">
        <v>429</v>
      </c>
      <c r="E392" s="2">
        <v>85</v>
      </c>
      <c r="F392" s="1" t="s">
        <v>8</v>
      </c>
      <c r="G392" s="24" t="s">
        <v>532</v>
      </c>
    </row>
    <row r="393" spans="2:7" hidden="1" x14ac:dyDescent="0.35">
      <c r="B393" s="20" t="s">
        <v>510</v>
      </c>
      <c r="C393" s="1" t="s">
        <v>533</v>
      </c>
      <c r="D393" s="1" t="s">
        <v>534</v>
      </c>
      <c r="E393" s="2">
        <v>50</v>
      </c>
      <c r="F393" s="1" t="s">
        <v>8</v>
      </c>
      <c r="G393" s="24" t="s">
        <v>532</v>
      </c>
    </row>
    <row r="394" spans="2:7" hidden="1" x14ac:dyDescent="0.35">
      <c r="B394" s="20" t="s">
        <v>510</v>
      </c>
      <c r="C394" s="1" t="s">
        <v>430</v>
      </c>
      <c r="D394" s="1" t="s">
        <v>431</v>
      </c>
      <c r="E394" s="2">
        <v>26</v>
      </c>
      <c r="F394" s="1" t="s">
        <v>8</v>
      </c>
      <c r="G394" s="24" t="s">
        <v>532</v>
      </c>
    </row>
    <row r="395" spans="2:7" hidden="1" x14ac:dyDescent="0.35">
      <c r="B395" s="20" t="s">
        <v>510</v>
      </c>
      <c r="C395" s="1" t="s">
        <v>432</v>
      </c>
      <c r="D395" s="1" t="s">
        <v>433</v>
      </c>
      <c r="E395" s="2">
        <v>21</v>
      </c>
      <c r="F395" s="1" t="s">
        <v>8</v>
      </c>
      <c r="G395" s="24" t="s">
        <v>532</v>
      </c>
    </row>
    <row r="396" spans="2:7" hidden="1" x14ac:dyDescent="0.35">
      <c r="B396" s="20" t="s">
        <v>510</v>
      </c>
      <c r="C396" s="1" t="s">
        <v>434</v>
      </c>
      <c r="D396" s="1" t="s">
        <v>435</v>
      </c>
      <c r="E396" s="2">
        <v>12</v>
      </c>
      <c r="F396" s="1" t="s">
        <v>8</v>
      </c>
      <c r="G396" s="24" t="s">
        <v>532</v>
      </c>
    </row>
    <row r="397" spans="2:7" hidden="1" x14ac:dyDescent="0.35">
      <c r="B397" s="20" t="s">
        <v>510</v>
      </c>
      <c r="C397" s="1" t="s">
        <v>436</v>
      </c>
      <c r="D397" s="1" t="s">
        <v>437</v>
      </c>
      <c r="E397" s="2">
        <v>61</v>
      </c>
      <c r="F397" s="1" t="s">
        <v>8</v>
      </c>
      <c r="G397" s="24" t="s">
        <v>515</v>
      </c>
    </row>
    <row r="398" spans="2:7" hidden="1" x14ac:dyDescent="0.35">
      <c r="B398" s="20" t="s">
        <v>510</v>
      </c>
      <c r="C398" s="1" t="s">
        <v>438</v>
      </c>
      <c r="D398" s="1" t="s">
        <v>439</v>
      </c>
      <c r="E398" s="2">
        <v>3000</v>
      </c>
      <c r="F398" s="1" t="s">
        <v>8</v>
      </c>
      <c r="G398" s="24" t="s">
        <v>531</v>
      </c>
    </row>
    <row r="399" spans="2:7" hidden="1" x14ac:dyDescent="0.35">
      <c r="B399" s="20" t="s">
        <v>510</v>
      </c>
      <c r="C399" s="1" t="s">
        <v>440</v>
      </c>
      <c r="D399" s="1" t="s">
        <v>441</v>
      </c>
      <c r="E399" s="2">
        <v>30000</v>
      </c>
      <c r="F399" s="1" t="s">
        <v>8</v>
      </c>
      <c r="G399" s="24" t="s">
        <v>515</v>
      </c>
    </row>
    <row r="400" spans="2:7" hidden="1" x14ac:dyDescent="0.35">
      <c r="B400" s="20" t="s">
        <v>510</v>
      </c>
      <c r="C400" s="1" t="s">
        <v>442</v>
      </c>
      <c r="D400" s="1" t="s">
        <v>443</v>
      </c>
      <c r="E400" s="2">
        <v>5000</v>
      </c>
      <c r="F400" s="1" t="s">
        <v>8</v>
      </c>
      <c r="G400" s="24" t="s">
        <v>515</v>
      </c>
    </row>
    <row r="401" spans="2:7" hidden="1" x14ac:dyDescent="0.35">
      <c r="B401" s="20" t="s">
        <v>510</v>
      </c>
      <c r="C401" s="1" t="s">
        <v>444</v>
      </c>
      <c r="D401" s="1" t="s">
        <v>445</v>
      </c>
      <c r="E401" s="2">
        <v>500</v>
      </c>
      <c r="F401" s="1" t="s">
        <v>8</v>
      </c>
      <c r="G401" s="24" t="s">
        <v>515</v>
      </c>
    </row>
    <row r="402" spans="2:7" hidden="1" x14ac:dyDescent="0.35">
      <c r="B402" s="20" t="s">
        <v>510</v>
      </c>
      <c r="C402" s="1" t="s">
        <v>448</v>
      </c>
      <c r="D402" s="1" t="s">
        <v>449</v>
      </c>
      <c r="E402" s="2">
        <v>500</v>
      </c>
      <c r="F402" s="1" t="s">
        <v>8</v>
      </c>
      <c r="G402" s="24" t="s">
        <v>515</v>
      </c>
    </row>
    <row r="403" spans="2:7" hidden="1" x14ac:dyDescent="0.35">
      <c r="B403" s="20" t="s">
        <v>510</v>
      </c>
      <c r="C403" s="1" t="s">
        <v>450</v>
      </c>
      <c r="D403" s="1" t="s">
        <v>451</v>
      </c>
      <c r="E403" s="2">
        <v>250</v>
      </c>
      <c r="F403" s="1" t="s">
        <v>8</v>
      </c>
      <c r="G403" s="24" t="s">
        <v>515</v>
      </c>
    </row>
    <row r="404" spans="2:7" hidden="1" x14ac:dyDescent="0.35">
      <c r="B404" s="20" t="s">
        <v>510</v>
      </c>
      <c r="C404" s="1" t="s">
        <v>456</v>
      </c>
      <c r="D404" s="1" t="s">
        <v>457</v>
      </c>
      <c r="E404" s="2">
        <v>1022</v>
      </c>
      <c r="F404" s="1" t="s">
        <v>8</v>
      </c>
      <c r="G404" s="24" t="s">
        <v>515</v>
      </c>
    </row>
    <row r="405" spans="2:7" hidden="1" x14ac:dyDescent="0.35">
      <c r="B405" s="20" t="s">
        <v>510</v>
      </c>
      <c r="C405" s="1" t="s">
        <v>462</v>
      </c>
      <c r="D405" s="1" t="s">
        <v>463</v>
      </c>
      <c r="E405" s="2">
        <v>51</v>
      </c>
      <c r="F405" s="1" t="s">
        <v>8</v>
      </c>
      <c r="G405" s="24" t="s">
        <v>532</v>
      </c>
    </row>
    <row r="406" spans="2:7" hidden="1" x14ac:dyDescent="0.35">
      <c r="B406" s="20" t="s">
        <v>510</v>
      </c>
      <c r="C406" s="1" t="s">
        <v>464</v>
      </c>
      <c r="D406" s="1" t="s">
        <v>465</v>
      </c>
      <c r="E406" s="2">
        <v>35</v>
      </c>
      <c r="F406" s="1" t="s">
        <v>8</v>
      </c>
      <c r="G406" s="24" t="s">
        <v>532</v>
      </c>
    </row>
    <row r="407" spans="2:7" hidden="1" x14ac:dyDescent="0.35">
      <c r="B407" s="20" t="s">
        <v>510</v>
      </c>
      <c r="C407" s="1" t="s">
        <v>466</v>
      </c>
      <c r="D407" s="1" t="s">
        <v>467</v>
      </c>
      <c r="E407" s="2">
        <v>30</v>
      </c>
      <c r="F407" s="1" t="s">
        <v>8</v>
      </c>
      <c r="G407" s="24" t="s">
        <v>532</v>
      </c>
    </row>
    <row r="408" spans="2:7" hidden="1" x14ac:dyDescent="0.35">
      <c r="B408" s="20" t="s">
        <v>510</v>
      </c>
      <c r="C408" s="1" t="s">
        <v>470</v>
      </c>
      <c r="D408" s="1" t="s">
        <v>471</v>
      </c>
      <c r="E408" s="2">
        <v>242</v>
      </c>
      <c r="F408" s="1" t="s">
        <v>8</v>
      </c>
      <c r="G408" s="24" t="s">
        <v>532</v>
      </c>
    </row>
    <row r="409" spans="2:7" hidden="1" x14ac:dyDescent="0.35">
      <c r="B409" s="20" t="s">
        <v>510</v>
      </c>
      <c r="C409" s="1" t="s">
        <v>472</v>
      </c>
      <c r="D409" s="1" t="s">
        <v>473</v>
      </c>
      <c r="E409" s="2">
        <v>30</v>
      </c>
      <c r="F409" s="1" t="s">
        <v>8</v>
      </c>
      <c r="G409" s="24" t="s">
        <v>532</v>
      </c>
    </row>
    <row r="410" spans="2:7" hidden="1" x14ac:dyDescent="0.35">
      <c r="B410" s="20" t="s">
        <v>510</v>
      </c>
      <c r="C410" s="1" t="s">
        <v>535</v>
      </c>
      <c r="D410" s="1" t="s">
        <v>536</v>
      </c>
      <c r="E410" s="2">
        <v>50</v>
      </c>
      <c r="F410" s="1" t="s">
        <v>8</v>
      </c>
      <c r="G410" s="24" t="s">
        <v>532</v>
      </c>
    </row>
    <row r="411" spans="2:7" hidden="1" x14ac:dyDescent="0.35">
      <c r="B411" s="20" t="s">
        <v>510</v>
      </c>
      <c r="C411" s="1" t="s">
        <v>474</v>
      </c>
      <c r="D411" s="1" t="s">
        <v>475</v>
      </c>
      <c r="E411" s="2">
        <v>10</v>
      </c>
      <c r="F411" s="1" t="s">
        <v>8</v>
      </c>
      <c r="G411" s="24" t="s">
        <v>532</v>
      </c>
    </row>
    <row r="412" spans="2:7" hidden="1" x14ac:dyDescent="0.35">
      <c r="B412" s="20" t="s">
        <v>510</v>
      </c>
      <c r="C412" s="1" t="s">
        <v>480</v>
      </c>
      <c r="D412" s="1" t="s">
        <v>481</v>
      </c>
      <c r="E412" s="2">
        <v>175</v>
      </c>
      <c r="F412" s="1" t="s">
        <v>8</v>
      </c>
      <c r="G412" s="24" t="s">
        <v>537</v>
      </c>
    </row>
    <row r="413" spans="2:7" hidden="1" x14ac:dyDescent="0.35">
      <c r="B413" s="20" t="s">
        <v>510</v>
      </c>
      <c r="C413" s="1" t="s">
        <v>482</v>
      </c>
      <c r="D413" s="1" t="s">
        <v>483</v>
      </c>
      <c r="E413" s="2">
        <v>40</v>
      </c>
      <c r="F413" s="1" t="s">
        <v>8</v>
      </c>
      <c r="G413" s="24" t="s">
        <v>537</v>
      </c>
    </row>
    <row r="414" spans="2:7" hidden="1" x14ac:dyDescent="0.35">
      <c r="B414" s="20" t="s">
        <v>510</v>
      </c>
      <c r="C414" s="1" t="s">
        <v>484</v>
      </c>
      <c r="D414" s="1" t="s">
        <v>485</v>
      </c>
      <c r="E414" s="2">
        <v>44000</v>
      </c>
      <c r="F414" s="1" t="s">
        <v>8</v>
      </c>
      <c r="G414" s="24" t="s">
        <v>538</v>
      </c>
    </row>
    <row r="415" spans="2:7" hidden="1" x14ac:dyDescent="0.35">
      <c r="B415" s="20" t="s">
        <v>510</v>
      </c>
      <c r="C415" s="1" t="s">
        <v>486</v>
      </c>
      <c r="D415" s="1" t="s">
        <v>487</v>
      </c>
      <c r="E415" s="2">
        <v>4500</v>
      </c>
      <c r="F415" s="1" t="s">
        <v>8</v>
      </c>
      <c r="G415" s="24" t="s">
        <v>538</v>
      </c>
    </row>
    <row r="416" spans="2:7" hidden="1" x14ac:dyDescent="0.35">
      <c r="B416" s="20" t="s">
        <v>510</v>
      </c>
      <c r="C416" s="1" t="s">
        <v>488</v>
      </c>
      <c r="D416" s="1" t="s">
        <v>489</v>
      </c>
      <c r="E416" s="2">
        <v>1250</v>
      </c>
      <c r="F416" s="1" t="s">
        <v>8</v>
      </c>
      <c r="G416" s="24" t="s">
        <v>538</v>
      </c>
    </row>
    <row r="417" spans="2:7" x14ac:dyDescent="0.35">
      <c r="B417" s="20" t="s">
        <v>510</v>
      </c>
      <c r="C417" s="1" t="s">
        <v>492</v>
      </c>
      <c r="D417" s="1" t="s">
        <v>493</v>
      </c>
      <c r="E417" s="2">
        <v>9100</v>
      </c>
      <c r="F417" s="1" t="s">
        <v>8</v>
      </c>
      <c r="G417" s="24" t="s">
        <v>538</v>
      </c>
    </row>
    <row r="418" spans="2:7" x14ac:dyDescent="0.35">
      <c r="B418" s="20" t="s">
        <v>510</v>
      </c>
      <c r="C418" s="1" t="s">
        <v>494</v>
      </c>
      <c r="D418" s="1" t="s">
        <v>495</v>
      </c>
      <c r="E418" s="2">
        <v>32180</v>
      </c>
      <c r="F418" s="1" t="s">
        <v>8</v>
      </c>
      <c r="G418" s="24" t="s">
        <v>538</v>
      </c>
    </row>
    <row r="419" spans="2:7" hidden="1" x14ac:dyDescent="0.35">
      <c r="B419" s="20" t="s">
        <v>510</v>
      </c>
      <c r="C419" s="1" t="s">
        <v>498</v>
      </c>
      <c r="D419" s="1" t="s">
        <v>499</v>
      </c>
      <c r="E419" s="2">
        <v>20</v>
      </c>
      <c r="F419" s="1" t="s">
        <v>8</v>
      </c>
      <c r="G419" s="24" t="s">
        <v>515</v>
      </c>
    </row>
    <row r="420" spans="2:7" hidden="1" x14ac:dyDescent="0.35">
      <c r="B420" s="20" t="s">
        <v>510</v>
      </c>
      <c r="C420" s="1" t="s">
        <v>500</v>
      </c>
      <c r="D420" s="1" t="s">
        <v>501</v>
      </c>
      <c r="E420" s="2">
        <v>1185</v>
      </c>
      <c r="F420" s="1" t="s">
        <v>8</v>
      </c>
      <c r="G420" s="24" t="s">
        <v>515</v>
      </c>
    </row>
    <row r="421" spans="2:7" hidden="1" x14ac:dyDescent="0.35">
      <c r="B421" s="20" t="s">
        <v>510</v>
      </c>
      <c r="C421" s="1" t="s">
        <v>504</v>
      </c>
      <c r="D421" s="1" t="s">
        <v>505</v>
      </c>
      <c r="E421" s="2">
        <v>10</v>
      </c>
      <c r="F421" s="1" t="s">
        <v>8</v>
      </c>
      <c r="G421" s="24" t="s">
        <v>515</v>
      </c>
    </row>
    <row r="422" spans="2:7" hidden="1" x14ac:dyDescent="0.35">
      <c r="B422" s="28" t="s">
        <v>510</v>
      </c>
      <c r="C422" s="29" t="s">
        <v>508</v>
      </c>
      <c r="D422" s="29" t="s">
        <v>509</v>
      </c>
      <c r="E422" s="30">
        <v>6100</v>
      </c>
      <c r="F422" s="29" t="s">
        <v>8</v>
      </c>
      <c r="G422" s="31" t="s">
        <v>515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tabSelected="1" workbookViewId="0">
      <selection activeCell="B2" sqref="B2:B60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58" t="s">
        <v>540</v>
      </c>
      <c r="B1" s="58" t="s">
        <v>935</v>
      </c>
      <c r="C1" s="58"/>
    </row>
    <row r="2" spans="1:5" x14ac:dyDescent="0.35">
      <c r="A2" s="59" t="s">
        <v>542</v>
      </c>
      <c r="B2">
        <v>1</v>
      </c>
      <c r="D2" s="60" t="s">
        <v>828</v>
      </c>
      <c r="E2" s="60" t="s">
        <v>829</v>
      </c>
    </row>
    <row r="3" spans="1:5" x14ac:dyDescent="0.35">
      <c r="A3" s="59" t="s">
        <v>564</v>
      </c>
      <c r="B3">
        <v>1</v>
      </c>
      <c r="D3" s="60" t="s">
        <v>831</v>
      </c>
      <c r="E3" s="60" t="s">
        <v>829</v>
      </c>
    </row>
    <row r="4" spans="1:5" x14ac:dyDescent="0.35">
      <c r="A4" s="59" t="s">
        <v>572</v>
      </c>
      <c r="B4">
        <v>1</v>
      </c>
      <c r="D4" s="60" t="s">
        <v>833</v>
      </c>
      <c r="E4" s="60" t="s">
        <v>829</v>
      </c>
    </row>
    <row r="5" spans="1:5" x14ac:dyDescent="0.35">
      <c r="A5" s="59" t="s">
        <v>580</v>
      </c>
      <c r="B5">
        <v>1</v>
      </c>
      <c r="D5" s="60" t="s">
        <v>835</v>
      </c>
      <c r="E5" s="60" t="s">
        <v>829</v>
      </c>
    </row>
    <row r="6" spans="1:5" x14ac:dyDescent="0.35">
      <c r="A6" s="59" t="s">
        <v>596</v>
      </c>
      <c r="B6">
        <v>1</v>
      </c>
      <c r="D6" s="60" t="s">
        <v>837</v>
      </c>
      <c r="E6" s="60" t="s">
        <v>829</v>
      </c>
    </row>
    <row r="7" spans="1:5" x14ac:dyDescent="0.35">
      <c r="A7" s="59" t="s">
        <v>598</v>
      </c>
      <c r="B7">
        <v>1</v>
      </c>
      <c r="D7" s="60" t="s">
        <v>839</v>
      </c>
      <c r="E7" s="60" t="s">
        <v>829</v>
      </c>
    </row>
    <row r="8" spans="1:5" x14ac:dyDescent="0.35">
      <c r="A8" s="59" t="s">
        <v>608</v>
      </c>
      <c r="B8">
        <v>1</v>
      </c>
      <c r="D8" s="60" t="s">
        <v>841</v>
      </c>
      <c r="E8" s="60" t="s">
        <v>829</v>
      </c>
    </row>
    <row r="9" spans="1:5" x14ac:dyDescent="0.35">
      <c r="A9" s="59" t="s">
        <v>615</v>
      </c>
      <c r="B9">
        <v>1</v>
      </c>
      <c r="D9" s="60" t="s">
        <v>843</v>
      </c>
      <c r="E9" s="60" t="s">
        <v>829</v>
      </c>
    </row>
    <row r="10" spans="1:5" x14ac:dyDescent="0.35">
      <c r="A10" s="59" t="s">
        <v>623</v>
      </c>
      <c r="B10">
        <v>1</v>
      </c>
      <c r="D10" s="60" t="s">
        <v>846</v>
      </c>
      <c r="E10" s="60" t="s">
        <v>829</v>
      </c>
    </row>
    <row r="11" spans="1:5" x14ac:dyDescent="0.35">
      <c r="A11" s="59" t="s">
        <v>639</v>
      </c>
      <c r="B11">
        <v>1</v>
      </c>
      <c r="D11" s="60" t="s">
        <v>848</v>
      </c>
      <c r="E11" s="60" t="s">
        <v>829</v>
      </c>
    </row>
    <row r="12" spans="1:5" x14ac:dyDescent="0.35">
      <c r="A12" s="59" t="s">
        <v>647</v>
      </c>
      <c r="B12">
        <v>1</v>
      </c>
      <c r="D12" s="60" t="s">
        <v>850</v>
      </c>
      <c r="E12" s="60" t="s">
        <v>829</v>
      </c>
    </row>
    <row r="13" spans="1:5" x14ac:dyDescent="0.35">
      <c r="A13" s="59" t="s">
        <v>655</v>
      </c>
      <c r="B13">
        <v>1</v>
      </c>
      <c r="D13" s="60" t="s">
        <v>852</v>
      </c>
      <c r="E13" s="60" t="s">
        <v>829</v>
      </c>
    </row>
    <row r="14" spans="1:5" x14ac:dyDescent="0.35">
      <c r="A14" s="59" t="s">
        <v>667</v>
      </c>
      <c r="B14">
        <v>1</v>
      </c>
      <c r="D14" s="60" t="s">
        <v>854</v>
      </c>
      <c r="E14" s="60" t="s">
        <v>855</v>
      </c>
    </row>
    <row r="15" spans="1:5" x14ac:dyDescent="0.35">
      <c r="A15" s="59" t="s">
        <v>670</v>
      </c>
      <c r="B15">
        <v>1</v>
      </c>
      <c r="D15" s="60" t="s">
        <v>856</v>
      </c>
      <c r="E15" s="60" t="s">
        <v>855</v>
      </c>
    </row>
    <row r="16" spans="1:5" x14ac:dyDescent="0.35">
      <c r="A16" s="59" t="s">
        <v>672</v>
      </c>
      <c r="B16">
        <v>1</v>
      </c>
      <c r="D16" s="60" t="s">
        <v>857</v>
      </c>
      <c r="E16" s="60" t="s">
        <v>855</v>
      </c>
    </row>
    <row r="17" spans="1:5" x14ac:dyDescent="0.35">
      <c r="A17" s="59" t="s">
        <v>674</v>
      </c>
      <c r="B17">
        <v>1</v>
      </c>
      <c r="D17" s="60" t="s">
        <v>858</v>
      </c>
      <c r="E17" s="60" t="s">
        <v>855</v>
      </c>
    </row>
    <row r="18" spans="1:5" x14ac:dyDescent="0.35">
      <c r="A18" s="59" t="s">
        <v>676</v>
      </c>
      <c r="B18">
        <v>1</v>
      </c>
      <c r="D18" s="60" t="s">
        <v>859</v>
      </c>
      <c r="E18" s="60" t="s">
        <v>855</v>
      </c>
    </row>
    <row r="19" spans="1:5" x14ac:dyDescent="0.35">
      <c r="A19" s="59" t="s">
        <v>678</v>
      </c>
      <c r="B19">
        <v>1</v>
      </c>
      <c r="D19" s="60" t="s">
        <v>860</v>
      </c>
      <c r="E19" s="60" t="s">
        <v>855</v>
      </c>
    </row>
    <row r="20" spans="1:5" x14ac:dyDescent="0.35">
      <c r="A20" s="59" t="s">
        <v>680</v>
      </c>
      <c r="B20">
        <v>1</v>
      </c>
      <c r="D20" s="60" t="s">
        <v>861</v>
      </c>
      <c r="E20" s="60" t="s">
        <v>855</v>
      </c>
    </row>
    <row r="21" spans="1:5" x14ac:dyDescent="0.35">
      <c r="A21" s="59" t="s">
        <v>682</v>
      </c>
      <c r="B21">
        <v>1</v>
      </c>
      <c r="D21" s="60" t="s">
        <v>862</v>
      </c>
      <c r="E21" s="60" t="s">
        <v>855</v>
      </c>
    </row>
    <row r="22" spans="1:5" x14ac:dyDescent="0.35">
      <c r="A22" s="59" t="s">
        <v>684</v>
      </c>
      <c r="B22">
        <v>1</v>
      </c>
      <c r="D22" s="60" t="s">
        <v>863</v>
      </c>
      <c r="E22" s="60" t="s">
        <v>855</v>
      </c>
    </row>
    <row r="23" spans="1:5" x14ac:dyDescent="0.35">
      <c r="A23" s="59" t="s">
        <v>686</v>
      </c>
      <c r="B23">
        <v>1</v>
      </c>
      <c r="D23" s="60" t="s">
        <v>864</v>
      </c>
      <c r="E23" s="60" t="s">
        <v>855</v>
      </c>
    </row>
    <row r="24" spans="1:5" x14ac:dyDescent="0.35">
      <c r="A24" s="59" t="s">
        <v>688</v>
      </c>
      <c r="B24">
        <v>1</v>
      </c>
      <c r="D24" s="60" t="s">
        <v>865</v>
      </c>
      <c r="E24" s="60" t="s">
        <v>855</v>
      </c>
    </row>
    <row r="25" spans="1:5" x14ac:dyDescent="0.35">
      <c r="A25" s="59" t="s">
        <v>690</v>
      </c>
      <c r="B25">
        <v>1</v>
      </c>
      <c r="D25" s="60" t="s">
        <v>866</v>
      </c>
      <c r="E25" s="60" t="s">
        <v>855</v>
      </c>
    </row>
    <row r="26" spans="1:5" x14ac:dyDescent="0.35">
      <c r="A26" s="59" t="s">
        <v>692</v>
      </c>
      <c r="B26">
        <v>1</v>
      </c>
      <c r="D26" s="60" t="s">
        <v>867</v>
      </c>
      <c r="E26" s="60" t="s">
        <v>855</v>
      </c>
    </row>
    <row r="27" spans="1:5" x14ac:dyDescent="0.35">
      <c r="A27" s="59" t="s">
        <v>694</v>
      </c>
      <c r="B27">
        <v>1</v>
      </c>
      <c r="D27" s="60" t="s">
        <v>868</v>
      </c>
      <c r="E27" s="60" t="s">
        <v>869</v>
      </c>
    </row>
    <row r="28" spans="1:5" x14ac:dyDescent="0.35">
      <c r="A28" s="59" t="s">
        <v>696</v>
      </c>
      <c r="B28">
        <v>1</v>
      </c>
      <c r="D28" s="60" t="s">
        <v>870</v>
      </c>
      <c r="E28" s="60" t="s">
        <v>869</v>
      </c>
    </row>
    <row r="29" spans="1:5" x14ac:dyDescent="0.35">
      <c r="A29" s="59" t="s">
        <v>698</v>
      </c>
      <c r="B29">
        <v>1</v>
      </c>
      <c r="D29" s="60" t="s">
        <v>871</v>
      </c>
      <c r="E29" s="60" t="s">
        <v>869</v>
      </c>
    </row>
    <row r="30" spans="1:5" x14ac:dyDescent="0.35">
      <c r="A30" s="59" t="s">
        <v>700</v>
      </c>
      <c r="B30">
        <v>1</v>
      </c>
      <c r="D30" s="60" t="s">
        <v>872</v>
      </c>
      <c r="E30" s="60" t="s">
        <v>869</v>
      </c>
    </row>
    <row r="31" spans="1:5" x14ac:dyDescent="0.35">
      <c r="A31" s="59" t="s">
        <v>702</v>
      </c>
      <c r="B31">
        <v>1</v>
      </c>
      <c r="D31" s="60" t="s">
        <v>873</v>
      </c>
      <c r="E31" s="60" t="s">
        <v>869</v>
      </c>
    </row>
    <row r="32" spans="1:5" x14ac:dyDescent="0.35">
      <c r="A32" s="59" t="s">
        <v>703</v>
      </c>
      <c r="B32">
        <v>1</v>
      </c>
      <c r="D32" s="60" t="s">
        <v>874</v>
      </c>
      <c r="E32" s="60" t="s">
        <v>869</v>
      </c>
    </row>
    <row r="33" spans="1:5" x14ac:dyDescent="0.35">
      <c r="A33" s="59" t="s">
        <v>705</v>
      </c>
      <c r="B33">
        <v>1</v>
      </c>
      <c r="D33" s="60" t="s">
        <v>875</v>
      </c>
      <c r="E33" s="60" t="s">
        <v>869</v>
      </c>
    </row>
    <row r="34" spans="1:5" x14ac:dyDescent="0.35">
      <c r="A34" s="59" t="s">
        <v>707</v>
      </c>
      <c r="B34">
        <v>1</v>
      </c>
      <c r="D34" s="60" t="s">
        <v>876</v>
      </c>
      <c r="E34" s="60" t="s">
        <v>869</v>
      </c>
    </row>
    <row r="35" spans="1:5" x14ac:dyDescent="0.35">
      <c r="A35" s="59" t="s">
        <v>709</v>
      </c>
      <c r="B35">
        <v>1</v>
      </c>
      <c r="D35" s="60" t="s">
        <v>877</v>
      </c>
      <c r="E35" s="60" t="s">
        <v>869</v>
      </c>
    </row>
    <row r="36" spans="1:5" x14ac:dyDescent="0.35">
      <c r="A36" s="59" t="s">
        <v>711</v>
      </c>
      <c r="B36">
        <v>1</v>
      </c>
      <c r="D36" s="60" t="s">
        <v>878</v>
      </c>
      <c r="E36" s="60" t="s">
        <v>869</v>
      </c>
    </row>
    <row r="37" spans="1:5" x14ac:dyDescent="0.35">
      <c r="A37" s="59" t="s">
        <v>713</v>
      </c>
      <c r="B37">
        <v>1</v>
      </c>
      <c r="D37" s="60" t="s">
        <v>879</v>
      </c>
      <c r="E37" s="60" t="s">
        <v>869</v>
      </c>
    </row>
    <row r="38" spans="1:5" x14ac:dyDescent="0.35">
      <c r="A38" s="59" t="s">
        <v>715</v>
      </c>
      <c r="B38">
        <v>1</v>
      </c>
      <c r="D38" s="60" t="s">
        <v>880</v>
      </c>
      <c r="E38" s="60" t="s">
        <v>869</v>
      </c>
    </row>
    <row r="39" spans="1:5" x14ac:dyDescent="0.35">
      <c r="A39" s="59" t="s">
        <v>717</v>
      </c>
      <c r="B39">
        <v>1</v>
      </c>
      <c r="D39" s="60" t="s">
        <v>881</v>
      </c>
      <c r="E39" s="60" t="s">
        <v>882</v>
      </c>
    </row>
    <row r="40" spans="1:5" x14ac:dyDescent="0.35">
      <c r="A40" s="59" t="s">
        <v>884</v>
      </c>
      <c r="B40">
        <v>1</v>
      </c>
      <c r="D40" s="60" t="s">
        <v>885</v>
      </c>
      <c r="E40" s="60" t="s">
        <v>882</v>
      </c>
    </row>
    <row r="41" spans="1:5" x14ac:dyDescent="0.35">
      <c r="A41" s="59" t="s">
        <v>887</v>
      </c>
      <c r="B41">
        <v>1</v>
      </c>
      <c r="D41" s="60" t="s">
        <v>888</v>
      </c>
      <c r="E41" s="60" t="s">
        <v>882</v>
      </c>
    </row>
    <row r="42" spans="1:5" x14ac:dyDescent="0.35">
      <c r="A42" s="59" t="str">
        <f>"8638270080010616"</f>
        <v>8638270080010616</v>
      </c>
      <c r="B42">
        <v>1</v>
      </c>
      <c r="D42" s="60" t="s">
        <v>890</v>
      </c>
      <c r="E42" s="60" t="s">
        <v>882</v>
      </c>
    </row>
    <row r="43" spans="1:5" x14ac:dyDescent="0.35">
      <c r="A43" s="59" t="str">
        <f>"8638270104013016"</f>
        <v>8638270104013016</v>
      </c>
      <c r="B43">
        <v>1</v>
      </c>
      <c r="D43" s="60" t="s">
        <v>891</v>
      </c>
      <c r="E43" s="60" t="s">
        <v>882</v>
      </c>
    </row>
    <row r="44" spans="1:5" x14ac:dyDescent="0.35">
      <c r="A44" s="59" t="s">
        <v>893</v>
      </c>
      <c r="B44">
        <v>1</v>
      </c>
      <c r="D44" s="60" t="s">
        <v>894</v>
      </c>
      <c r="E44" s="60" t="s">
        <v>882</v>
      </c>
    </row>
    <row r="45" spans="1:5" x14ac:dyDescent="0.35">
      <c r="A45" s="59" t="str">
        <f>"8638270106013016"</f>
        <v>8638270106013016</v>
      </c>
      <c r="B45">
        <v>1</v>
      </c>
      <c r="D45" s="60" t="s">
        <v>896</v>
      </c>
      <c r="E45" s="60" t="s">
        <v>882</v>
      </c>
    </row>
    <row r="46" spans="1:5" x14ac:dyDescent="0.35">
      <c r="A46" s="59" t="str">
        <f>"8638270106015816"</f>
        <v>8638270106015816</v>
      </c>
      <c r="B46">
        <v>1</v>
      </c>
      <c r="D46" s="60" t="s">
        <v>897</v>
      </c>
      <c r="E46" s="60" t="s">
        <v>882</v>
      </c>
    </row>
    <row r="47" spans="1:5" x14ac:dyDescent="0.35">
      <c r="A47" s="59" t="str">
        <f>"8638270130015816"</f>
        <v>8638270130015816</v>
      </c>
      <c r="B47">
        <v>1</v>
      </c>
      <c r="D47" s="60" t="s">
        <v>898</v>
      </c>
      <c r="E47" s="60" t="s">
        <v>882</v>
      </c>
    </row>
    <row r="48" spans="1:5" x14ac:dyDescent="0.35">
      <c r="A48" s="59" t="s">
        <v>900</v>
      </c>
      <c r="B48">
        <v>1</v>
      </c>
      <c r="D48" s="60" t="s">
        <v>901</v>
      </c>
      <c r="E48" s="60" t="s">
        <v>882</v>
      </c>
    </row>
    <row r="49" spans="1:5" x14ac:dyDescent="0.35">
      <c r="A49" s="59" t="str">
        <f>"8638270158019816"</f>
        <v>8638270158019816</v>
      </c>
      <c r="B49">
        <v>1</v>
      </c>
      <c r="D49" s="60" t="s">
        <v>903</v>
      </c>
      <c r="E49" s="60" t="s">
        <v>882</v>
      </c>
    </row>
    <row r="50" spans="1:5" x14ac:dyDescent="0.35">
      <c r="A50" s="59" t="str">
        <f>"8638270158021416"</f>
        <v>8638270158021416</v>
      </c>
      <c r="B50">
        <v>1</v>
      </c>
      <c r="D50" s="60" t="s">
        <v>905</v>
      </c>
      <c r="E50" s="60" t="s">
        <v>882</v>
      </c>
    </row>
    <row r="51" spans="1:5" x14ac:dyDescent="0.35">
      <c r="A51" s="59" t="s">
        <v>906</v>
      </c>
      <c r="B51">
        <v>1</v>
      </c>
      <c r="D51" s="60" t="s">
        <v>907</v>
      </c>
      <c r="E51" s="60" t="s">
        <v>882</v>
      </c>
    </row>
    <row r="52" spans="1:5" x14ac:dyDescent="0.35">
      <c r="A52" s="59" t="s">
        <v>909</v>
      </c>
      <c r="B52">
        <v>1</v>
      </c>
      <c r="D52" s="60" t="s">
        <v>910</v>
      </c>
      <c r="E52" s="60" t="s">
        <v>882</v>
      </c>
    </row>
    <row r="53" spans="1:5" x14ac:dyDescent="0.35">
      <c r="A53" s="60" t="s">
        <v>912</v>
      </c>
      <c r="B53">
        <v>1</v>
      </c>
      <c r="D53" s="60" t="s">
        <v>913</v>
      </c>
      <c r="E53" s="60" t="s">
        <v>882</v>
      </c>
    </row>
    <row r="54" spans="1:5" x14ac:dyDescent="0.35">
      <c r="A54" s="59" t="s">
        <v>722</v>
      </c>
      <c r="B54">
        <v>1</v>
      </c>
      <c r="D54" s="60" t="s">
        <v>915</v>
      </c>
      <c r="E54" s="60" t="s">
        <v>916</v>
      </c>
    </row>
    <row r="55" spans="1:5" x14ac:dyDescent="0.35">
      <c r="A55" s="59" t="s">
        <v>737</v>
      </c>
      <c r="B55">
        <v>1</v>
      </c>
      <c r="D55" s="60" t="s">
        <v>918</v>
      </c>
      <c r="E55" s="60" t="s">
        <v>916</v>
      </c>
    </row>
    <row r="56" spans="1:5" x14ac:dyDescent="0.35">
      <c r="A56" s="59" t="s">
        <v>742</v>
      </c>
      <c r="B56">
        <v>1</v>
      </c>
      <c r="D56" s="60" t="s">
        <v>919</v>
      </c>
      <c r="E56" s="60" t="s">
        <v>916</v>
      </c>
    </row>
    <row r="57" spans="1:5" x14ac:dyDescent="0.35">
      <c r="A57" s="59" t="s">
        <v>752</v>
      </c>
      <c r="B57">
        <v>1</v>
      </c>
      <c r="D57" s="60" t="s">
        <v>921</v>
      </c>
      <c r="E57" s="60" t="s">
        <v>916</v>
      </c>
    </row>
    <row r="58" spans="1:5" x14ac:dyDescent="0.35">
      <c r="A58" s="59" t="s">
        <v>755</v>
      </c>
      <c r="B58">
        <v>1</v>
      </c>
      <c r="D58" s="60" t="s">
        <v>922</v>
      </c>
      <c r="E58" s="60" t="s">
        <v>916</v>
      </c>
    </row>
    <row r="59" spans="1:5" x14ac:dyDescent="0.35">
      <c r="A59" s="59" t="s">
        <v>781</v>
      </c>
      <c r="B59">
        <v>1</v>
      </c>
      <c r="D59" s="60" t="s">
        <v>924</v>
      </c>
      <c r="E59" s="60" t="s">
        <v>916</v>
      </c>
    </row>
    <row r="60" spans="1:5" ht="15" thickBot="1" x14ac:dyDescent="0.4">
      <c r="A60" s="61" t="s">
        <v>800</v>
      </c>
      <c r="B60">
        <v>1</v>
      </c>
      <c r="D60" s="62" t="s">
        <v>926</v>
      </c>
      <c r="E60" s="62" t="s">
        <v>916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D4" sqref="D4"/>
    </sheetView>
  </sheetViews>
  <sheetFormatPr defaultRowHeight="14.5" x14ac:dyDescent="0.35"/>
  <cols>
    <col min="1" max="1" width="8.7265625" style="5"/>
    <col min="2" max="2" width="18.54296875" style="5" bestFit="1" customWidth="1"/>
    <col min="3" max="3" width="48.54296875" style="5" bestFit="1" customWidth="1"/>
    <col min="4" max="4" width="20.26953125" style="5" bestFit="1" customWidth="1"/>
    <col min="5" max="5" width="42.54296875" style="5" bestFit="1" customWidth="1"/>
    <col min="6" max="6" width="12.1796875" style="5" customWidth="1"/>
    <col min="7" max="16384" width="8.7265625" style="5"/>
  </cols>
  <sheetData>
    <row r="1" spans="2:6" x14ac:dyDescent="0.35">
      <c r="B1" s="39" t="s">
        <v>540</v>
      </c>
      <c r="C1" s="39" t="s">
        <v>928</v>
      </c>
      <c r="D1" s="40" t="s">
        <v>1</v>
      </c>
      <c r="E1" s="40" t="s">
        <v>2</v>
      </c>
      <c r="F1" s="41" t="s">
        <v>541</v>
      </c>
    </row>
    <row r="2" spans="2:6" x14ac:dyDescent="0.35">
      <c r="B2" s="19" t="s">
        <v>542</v>
      </c>
      <c r="C2" s="19" t="s">
        <v>828</v>
      </c>
      <c r="D2" s="6" t="s">
        <v>27</v>
      </c>
      <c r="E2" s="6" t="s">
        <v>543</v>
      </c>
      <c r="F2" s="36">
        <v>1</v>
      </c>
    </row>
    <row r="3" spans="2:6" x14ac:dyDescent="0.35">
      <c r="B3" s="19" t="s">
        <v>542</v>
      </c>
      <c r="C3" s="19" t="s">
        <v>828</v>
      </c>
      <c r="D3" s="6" t="s">
        <v>130</v>
      </c>
      <c r="E3" s="6" t="s">
        <v>544</v>
      </c>
      <c r="F3" s="36">
        <v>2</v>
      </c>
    </row>
    <row r="4" spans="2:6" x14ac:dyDescent="0.35">
      <c r="B4" s="19" t="s">
        <v>542</v>
      </c>
      <c r="C4" s="19" t="s">
        <v>828</v>
      </c>
      <c r="D4" s="6" t="s">
        <v>156</v>
      </c>
      <c r="E4" s="6" t="s">
        <v>545</v>
      </c>
      <c r="F4" s="36">
        <v>2</v>
      </c>
    </row>
    <row r="5" spans="2:6" x14ac:dyDescent="0.35">
      <c r="B5" s="19" t="s">
        <v>542</v>
      </c>
      <c r="C5" s="19" t="s">
        <v>828</v>
      </c>
      <c r="D5" s="6" t="s">
        <v>158</v>
      </c>
      <c r="E5" s="6" t="s">
        <v>546</v>
      </c>
      <c r="F5" s="36">
        <v>2</v>
      </c>
    </row>
    <row r="6" spans="2:6" x14ac:dyDescent="0.35">
      <c r="B6" s="19" t="s">
        <v>542</v>
      </c>
      <c r="C6" s="19" t="s">
        <v>828</v>
      </c>
      <c r="D6" s="6" t="s">
        <v>252</v>
      </c>
      <c r="E6" s="6" t="s">
        <v>547</v>
      </c>
      <c r="F6" s="36">
        <v>2</v>
      </c>
    </row>
    <row r="7" spans="2:6" x14ac:dyDescent="0.35">
      <c r="B7" s="19" t="s">
        <v>542</v>
      </c>
      <c r="C7" s="19" t="s">
        <v>828</v>
      </c>
      <c r="D7" s="6" t="s">
        <v>268</v>
      </c>
      <c r="E7" s="6" t="s">
        <v>548</v>
      </c>
      <c r="F7" s="36">
        <v>2</v>
      </c>
    </row>
    <row r="8" spans="2:6" x14ac:dyDescent="0.35">
      <c r="B8" s="19" t="s">
        <v>542</v>
      </c>
      <c r="C8" s="19" t="s">
        <v>828</v>
      </c>
      <c r="D8" s="6" t="s">
        <v>278</v>
      </c>
      <c r="E8" s="6" t="s">
        <v>549</v>
      </c>
      <c r="F8" s="36">
        <v>2</v>
      </c>
    </row>
    <row r="9" spans="2:6" x14ac:dyDescent="0.35">
      <c r="B9" s="19" t="s">
        <v>542</v>
      </c>
      <c r="C9" s="19" t="s">
        <v>828</v>
      </c>
      <c r="D9" s="6" t="s">
        <v>288</v>
      </c>
      <c r="E9" s="6" t="s">
        <v>550</v>
      </c>
      <c r="F9" s="36">
        <v>2</v>
      </c>
    </row>
    <row r="10" spans="2:6" x14ac:dyDescent="0.35">
      <c r="B10" s="19" t="s">
        <v>542</v>
      </c>
      <c r="C10" s="19" t="s">
        <v>828</v>
      </c>
      <c r="D10" s="6" t="s">
        <v>298</v>
      </c>
      <c r="E10" s="6" t="s">
        <v>551</v>
      </c>
      <c r="F10" s="36">
        <v>2</v>
      </c>
    </row>
    <row r="11" spans="2:6" x14ac:dyDescent="0.35">
      <c r="B11" s="19" t="s">
        <v>542</v>
      </c>
      <c r="C11" s="19" t="s">
        <v>828</v>
      </c>
      <c r="D11" s="6" t="s">
        <v>332</v>
      </c>
      <c r="E11" s="6" t="s">
        <v>552</v>
      </c>
      <c r="F11" s="36">
        <v>4</v>
      </c>
    </row>
    <row r="12" spans="2:6" x14ac:dyDescent="0.35">
      <c r="B12" s="19" t="s">
        <v>542</v>
      </c>
      <c r="C12" s="19" t="s">
        <v>828</v>
      </c>
      <c r="D12" s="6" t="s">
        <v>334</v>
      </c>
      <c r="E12" s="6" t="s">
        <v>553</v>
      </c>
      <c r="F12" s="36">
        <v>2</v>
      </c>
    </row>
    <row r="13" spans="2:6" x14ac:dyDescent="0.35">
      <c r="B13" s="19" t="s">
        <v>542</v>
      </c>
      <c r="C13" s="19" t="s">
        <v>828</v>
      </c>
      <c r="D13" s="6" t="s">
        <v>346</v>
      </c>
      <c r="E13" s="6" t="s">
        <v>554</v>
      </c>
      <c r="F13" s="36">
        <v>2</v>
      </c>
    </row>
    <row r="14" spans="2:6" x14ac:dyDescent="0.35">
      <c r="B14" s="19" t="s">
        <v>542</v>
      </c>
      <c r="C14" s="19" t="s">
        <v>828</v>
      </c>
      <c r="D14" s="6" t="s">
        <v>356</v>
      </c>
      <c r="E14" s="6" t="s">
        <v>555</v>
      </c>
      <c r="F14" s="36">
        <v>2</v>
      </c>
    </row>
    <row r="15" spans="2:6" x14ac:dyDescent="0.35">
      <c r="B15" s="19" t="s">
        <v>542</v>
      </c>
      <c r="C15" s="19" t="s">
        <v>828</v>
      </c>
      <c r="D15" s="6" t="s">
        <v>362</v>
      </c>
      <c r="E15" s="6" t="s">
        <v>556</v>
      </c>
      <c r="F15" s="36">
        <v>2</v>
      </c>
    </row>
    <row r="16" spans="2:6" x14ac:dyDescent="0.35">
      <c r="B16" s="19" t="s">
        <v>542</v>
      </c>
      <c r="C16" s="19" t="s">
        <v>828</v>
      </c>
      <c r="D16" s="6" t="s">
        <v>364</v>
      </c>
      <c r="E16" s="6" t="s">
        <v>557</v>
      </c>
      <c r="F16" s="36">
        <v>4</v>
      </c>
    </row>
    <row r="17" spans="2:6" x14ac:dyDescent="0.35">
      <c r="B17" s="19" t="s">
        <v>542</v>
      </c>
      <c r="C17" s="19" t="s">
        <v>828</v>
      </c>
      <c r="D17" s="6" t="s">
        <v>372</v>
      </c>
      <c r="E17" s="6" t="s">
        <v>558</v>
      </c>
      <c r="F17" s="36">
        <v>4</v>
      </c>
    </row>
    <row r="18" spans="2:6" x14ac:dyDescent="0.35">
      <c r="B18" s="19" t="s">
        <v>542</v>
      </c>
      <c r="C18" s="19" t="s">
        <v>828</v>
      </c>
      <c r="D18" s="6" t="s">
        <v>380</v>
      </c>
      <c r="E18" s="6" t="s">
        <v>559</v>
      </c>
      <c r="F18" s="36">
        <v>2</v>
      </c>
    </row>
    <row r="19" spans="2:6" x14ac:dyDescent="0.35">
      <c r="B19" s="19" t="s">
        <v>542</v>
      </c>
      <c r="C19" s="19" t="s">
        <v>828</v>
      </c>
      <c r="D19" s="6" t="s">
        <v>438</v>
      </c>
      <c r="E19" s="6" t="s">
        <v>560</v>
      </c>
      <c r="F19" s="36">
        <v>2</v>
      </c>
    </row>
    <row r="20" spans="2:6" x14ac:dyDescent="0.35">
      <c r="B20" s="19" t="s">
        <v>542</v>
      </c>
      <c r="C20" s="19" t="s">
        <v>828</v>
      </c>
      <c r="D20" s="6" t="s">
        <v>480</v>
      </c>
      <c r="E20" s="6" t="s">
        <v>561</v>
      </c>
      <c r="F20" s="36">
        <v>0.01</v>
      </c>
    </row>
    <row r="21" spans="2:6" x14ac:dyDescent="0.35">
      <c r="B21" s="19" t="s">
        <v>542</v>
      </c>
      <c r="C21" s="19" t="s">
        <v>828</v>
      </c>
      <c r="D21" s="6" t="s">
        <v>482</v>
      </c>
      <c r="E21" s="6" t="s">
        <v>562</v>
      </c>
      <c r="F21" s="36">
        <v>2E-3</v>
      </c>
    </row>
    <row r="22" spans="2:6" x14ac:dyDescent="0.35">
      <c r="B22" s="19" t="s">
        <v>542</v>
      </c>
      <c r="C22" s="19" t="s">
        <v>828</v>
      </c>
      <c r="D22" s="6" t="s">
        <v>484</v>
      </c>
      <c r="E22" s="6" t="s">
        <v>563</v>
      </c>
      <c r="F22" s="36">
        <v>4</v>
      </c>
    </row>
    <row r="23" spans="2:6" x14ac:dyDescent="0.35">
      <c r="B23" s="19" t="s">
        <v>564</v>
      </c>
      <c r="C23" s="19" t="s">
        <v>831</v>
      </c>
      <c r="D23" s="6" t="s">
        <v>29</v>
      </c>
      <c r="E23" s="6" t="s">
        <v>565</v>
      </c>
      <c r="F23" s="36">
        <v>1</v>
      </c>
    </row>
    <row r="24" spans="2:6" x14ac:dyDescent="0.35">
      <c r="B24" s="19" t="s">
        <v>564</v>
      </c>
      <c r="C24" s="19" t="s">
        <v>831</v>
      </c>
      <c r="D24" s="6" t="s">
        <v>132</v>
      </c>
      <c r="E24" s="6" t="s">
        <v>566</v>
      </c>
      <c r="F24" s="36">
        <v>2</v>
      </c>
    </row>
    <row r="25" spans="2:6" x14ac:dyDescent="0.35">
      <c r="B25" s="19" t="s">
        <v>564</v>
      </c>
      <c r="C25" s="19" t="s">
        <v>831</v>
      </c>
      <c r="D25" s="6" t="s">
        <v>160</v>
      </c>
      <c r="E25" s="6" t="s">
        <v>567</v>
      </c>
      <c r="F25" s="36">
        <v>2</v>
      </c>
    </row>
    <row r="26" spans="2:6" x14ac:dyDescent="0.35">
      <c r="B26" s="19" t="s">
        <v>564</v>
      </c>
      <c r="C26" s="19" t="s">
        <v>831</v>
      </c>
      <c r="D26" s="6" t="s">
        <v>162</v>
      </c>
      <c r="E26" s="6" t="s">
        <v>568</v>
      </c>
      <c r="F26" s="36">
        <v>2</v>
      </c>
    </row>
    <row r="27" spans="2:6" x14ac:dyDescent="0.35">
      <c r="B27" s="19" t="s">
        <v>564</v>
      </c>
      <c r="C27" s="19" t="s">
        <v>831</v>
      </c>
      <c r="D27" s="6" t="s">
        <v>254</v>
      </c>
      <c r="E27" s="6" t="s">
        <v>569</v>
      </c>
      <c r="F27" s="36">
        <v>2</v>
      </c>
    </row>
    <row r="28" spans="2:6" x14ac:dyDescent="0.35">
      <c r="B28" s="19" t="s">
        <v>564</v>
      </c>
      <c r="C28" s="19" t="s">
        <v>831</v>
      </c>
      <c r="D28" s="6" t="s">
        <v>270</v>
      </c>
      <c r="E28" s="6" t="s">
        <v>570</v>
      </c>
      <c r="F28" s="36">
        <v>2</v>
      </c>
    </row>
    <row r="29" spans="2:6" x14ac:dyDescent="0.35">
      <c r="B29" s="19" t="s">
        <v>564</v>
      </c>
      <c r="C29" s="19" t="s">
        <v>831</v>
      </c>
      <c r="D29" s="6" t="s">
        <v>278</v>
      </c>
      <c r="E29" s="6" t="s">
        <v>549</v>
      </c>
      <c r="F29" s="36">
        <v>2</v>
      </c>
    </row>
    <row r="30" spans="2:6" x14ac:dyDescent="0.35">
      <c r="B30" s="19" t="s">
        <v>564</v>
      </c>
      <c r="C30" s="19" t="s">
        <v>831</v>
      </c>
      <c r="D30" s="6" t="s">
        <v>288</v>
      </c>
      <c r="E30" s="6" t="s">
        <v>550</v>
      </c>
      <c r="F30" s="36">
        <v>2</v>
      </c>
    </row>
    <row r="31" spans="2:6" x14ac:dyDescent="0.35">
      <c r="B31" s="19" t="s">
        <v>564</v>
      </c>
      <c r="C31" s="19" t="s">
        <v>831</v>
      </c>
      <c r="D31" s="6" t="s">
        <v>300</v>
      </c>
      <c r="E31" s="6" t="s">
        <v>571</v>
      </c>
      <c r="F31" s="36">
        <v>2</v>
      </c>
    </row>
    <row r="32" spans="2:6" x14ac:dyDescent="0.35">
      <c r="B32" s="19" t="s">
        <v>564</v>
      </c>
      <c r="C32" s="19" t="s">
        <v>831</v>
      </c>
      <c r="D32" s="6" t="s">
        <v>332</v>
      </c>
      <c r="E32" s="6" t="s">
        <v>552</v>
      </c>
      <c r="F32" s="36">
        <v>4</v>
      </c>
    </row>
    <row r="33" spans="2:6" x14ac:dyDescent="0.35">
      <c r="B33" s="19" t="s">
        <v>564</v>
      </c>
      <c r="C33" s="19" t="s">
        <v>831</v>
      </c>
      <c r="D33" s="6" t="s">
        <v>334</v>
      </c>
      <c r="E33" s="6" t="s">
        <v>553</v>
      </c>
      <c r="F33" s="36">
        <v>2</v>
      </c>
    </row>
    <row r="34" spans="2:6" x14ac:dyDescent="0.35">
      <c r="B34" s="19" t="s">
        <v>564</v>
      </c>
      <c r="C34" s="19" t="s">
        <v>831</v>
      </c>
      <c r="D34" s="6" t="s">
        <v>346</v>
      </c>
      <c r="E34" s="6" t="s">
        <v>554</v>
      </c>
      <c r="F34" s="36">
        <v>2</v>
      </c>
    </row>
    <row r="35" spans="2:6" x14ac:dyDescent="0.35">
      <c r="B35" s="19" t="s">
        <v>564</v>
      </c>
      <c r="C35" s="19" t="s">
        <v>831</v>
      </c>
      <c r="D35" s="6" t="s">
        <v>356</v>
      </c>
      <c r="E35" s="6" t="s">
        <v>555</v>
      </c>
      <c r="F35" s="36">
        <v>2</v>
      </c>
    </row>
    <row r="36" spans="2:6" x14ac:dyDescent="0.35">
      <c r="B36" s="19" t="s">
        <v>564</v>
      </c>
      <c r="C36" s="19" t="s">
        <v>831</v>
      </c>
      <c r="D36" s="6" t="s">
        <v>362</v>
      </c>
      <c r="E36" s="6" t="s">
        <v>556</v>
      </c>
      <c r="F36" s="36">
        <v>2</v>
      </c>
    </row>
    <row r="37" spans="2:6" x14ac:dyDescent="0.35">
      <c r="B37" s="19" t="s">
        <v>564</v>
      </c>
      <c r="C37" s="19" t="s">
        <v>831</v>
      </c>
      <c r="D37" s="6" t="s">
        <v>364</v>
      </c>
      <c r="E37" s="6" t="s">
        <v>557</v>
      </c>
      <c r="F37" s="36">
        <v>4</v>
      </c>
    </row>
    <row r="38" spans="2:6" x14ac:dyDescent="0.35">
      <c r="B38" s="19" t="s">
        <v>564</v>
      </c>
      <c r="C38" s="19" t="s">
        <v>831</v>
      </c>
      <c r="D38" s="6" t="s">
        <v>372</v>
      </c>
      <c r="E38" s="6" t="s">
        <v>558</v>
      </c>
      <c r="F38" s="36">
        <v>4</v>
      </c>
    </row>
    <row r="39" spans="2:6" x14ac:dyDescent="0.35">
      <c r="B39" s="19" t="s">
        <v>564</v>
      </c>
      <c r="C39" s="19" t="s">
        <v>831</v>
      </c>
      <c r="D39" s="6" t="s">
        <v>380</v>
      </c>
      <c r="E39" s="6" t="s">
        <v>559</v>
      </c>
      <c r="F39" s="36">
        <v>2</v>
      </c>
    </row>
    <row r="40" spans="2:6" x14ac:dyDescent="0.35">
      <c r="B40" s="19" t="s">
        <v>564</v>
      </c>
      <c r="C40" s="19" t="s">
        <v>831</v>
      </c>
      <c r="D40" s="6" t="s">
        <v>438</v>
      </c>
      <c r="E40" s="6" t="s">
        <v>560</v>
      </c>
      <c r="F40" s="36">
        <v>2</v>
      </c>
    </row>
    <row r="41" spans="2:6" x14ac:dyDescent="0.35">
      <c r="B41" s="19" t="s">
        <v>564</v>
      </c>
      <c r="C41" s="19" t="s">
        <v>831</v>
      </c>
      <c r="D41" s="6" t="s">
        <v>480</v>
      </c>
      <c r="E41" s="6" t="s">
        <v>561</v>
      </c>
      <c r="F41" s="36">
        <v>0.01</v>
      </c>
    </row>
    <row r="42" spans="2:6" x14ac:dyDescent="0.35">
      <c r="B42" s="19" t="s">
        <v>564</v>
      </c>
      <c r="C42" s="19" t="s">
        <v>831</v>
      </c>
      <c r="D42" s="6" t="s">
        <v>482</v>
      </c>
      <c r="E42" s="6" t="s">
        <v>562</v>
      </c>
      <c r="F42" s="36">
        <v>2E-3</v>
      </c>
    </row>
    <row r="43" spans="2:6" x14ac:dyDescent="0.35">
      <c r="B43" s="19" t="s">
        <v>564</v>
      </c>
      <c r="C43" s="19" t="s">
        <v>831</v>
      </c>
      <c r="D43" s="6" t="s">
        <v>484</v>
      </c>
      <c r="E43" s="6" t="s">
        <v>563</v>
      </c>
      <c r="F43" s="36">
        <v>4</v>
      </c>
    </row>
    <row r="44" spans="2:6" x14ac:dyDescent="0.35">
      <c r="B44" s="19" t="s">
        <v>572</v>
      </c>
      <c r="C44" s="19" t="s">
        <v>833</v>
      </c>
      <c r="D44" s="6" t="s">
        <v>32</v>
      </c>
      <c r="E44" s="7" t="s">
        <v>573</v>
      </c>
      <c r="F44" s="37">
        <v>1</v>
      </c>
    </row>
    <row r="45" spans="2:6" x14ac:dyDescent="0.35">
      <c r="B45" s="19" t="s">
        <v>572</v>
      </c>
      <c r="C45" s="19" t="s">
        <v>833</v>
      </c>
      <c r="D45" s="7" t="s">
        <v>134</v>
      </c>
      <c r="E45" s="7" t="s">
        <v>574</v>
      </c>
      <c r="F45" s="37">
        <v>2</v>
      </c>
    </row>
    <row r="46" spans="2:6" x14ac:dyDescent="0.35">
      <c r="B46" s="19" t="s">
        <v>572</v>
      </c>
      <c r="C46" s="19" t="s">
        <v>833</v>
      </c>
      <c r="D46" s="6" t="s">
        <v>164</v>
      </c>
      <c r="E46" s="7" t="s">
        <v>575</v>
      </c>
      <c r="F46" s="37">
        <v>2</v>
      </c>
    </row>
    <row r="47" spans="2:6" x14ac:dyDescent="0.35">
      <c r="B47" s="19" t="s">
        <v>572</v>
      </c>
      <c r="C47" s="19" t="s">
        <v>833</v>
      </c>
      <c r="D47" s="6" t="s">
        <v>166</v>
      </c>
      <c r="E47" s="7" t="s">
        <v>576</v>
      </c>
      <c r="F47" s="37">
        <v>2</v>
      </c>
    </row>
    <row r="48" spans="2:6" x14ac:dyDescent="0.35">
      <c r="B48" s="19" t="s">
        <v>572</v>
      </c>
      <c r="C48" s="19" t="s">
        <v>833</v>
      </c>
      <c r="D48" s="7" t="s">
        <v>256</v>
      </c>
      <c r="E48" s="7" t="s">
        <v>577</v>
      </c>
      <c r="F48" s="37">
        <v>2</v>
      </c>
    </row>
    <row r="49" spans="2:6" x14ac:dyDescent="0.35">
      <c r="B49" s="19" t="s">
        <v>572</v>
      </c>
      <c r="C49" s="19" t="s">
        <v>833</v>
      </c>
      <c r="D49" s="7" t="s">
        <v>272</v>
      </c>
      <c r="E49" s="7" t="s">
        <v>578</v>
      </c>
      <c r="F49" s="37">
        <v>2</v>
      </c>
    </row>
    <row r="50" spans="2:6" x14ac:dyDescent="0.35">
      <c r="B50" s="19" t="s">
        <v>572</v>
      </c>
      <c r="C50" s="19" t="s">
        <v>833</v>
      </c>
      <c r="D50" s="7" t="s">
        <v>278</v>
      </c>
      <c r="E50" s="7" t="s">
        <v>549</v>
      </c>
      <c r="F50" s="37">
        <v>2</v>
      </c>
    </row>
    <row r="51" spans="2:6" x14ac:dyDescent="0.35">
      <c r="B51" s="19" t="s">
        <v>572</v>
      </c>
      <c r="C51" s="19" t="s">
        <v>833</v>
      </c>
      <c r="D51" s="7" t="s">
        <v>288</v>
      </c>
      <c r="E51" s="7" t="s">
        <v>550</v>
      </c>
      <c r="F51" s="37">
        <v>2</v>
      </c>
    </row>
    <row r="52" spans="2:6" x14ac:dyDescent="0.35">
      <c r="B52" s="19" t="s">
        <v>572</v>
      </c>
      <c r="C52" s="19" t="s">
        <v>833</v>
      </c>
      <c r="D52" s="7" t="s">
        <v>302</v>
      </c>
      <c r="E52" s="7" t="s">
        <v>579</v>
      </c>
      <c r="F52" s="37">
        <v>2</v>
      </c>
    </row>
    <row r="53" spans="2:6" x14ac:dyDescent="0.35">
      <c r="B53" s="19" t="s">
        <v>572</v>
      </c>
      <c r="C53" s="19" t="s">
        <v>833</v>
      </c>
      <c r="D53" s="7" t="s">
        <v>332</v>
      </c>
      <c r="E53" s="7" t="s">
        <v>552</v>
      </c>
      <c r="F53" s="37">
        <v>4</v>
      </c>
    </row>
    <row r="54" spans="2:6" x14ac:dyDescent="0.35">
      <c r="B54" s="19" t="s">
        <v>572</v>
      </c>
      <c r="C54" s="19" t="s">
        <v>833</v>
      </c>
      <c r="D54" s="7" t="s">
        <v>334</v>
      </c>
      <c r="E54" s="7" t="s">
        <v>553</v>
      </c>
      <c r="F54" s="37">
        <v>2</v>
      </c>
    </row>
    <row r="55" spans="2:6" x14ac:dyDescent="0.35">
      <c r="B55" s="19" t="s">
        <v>572</v>
      </c>
      <c r="C55" s="19" t="s">
        <v>833</v>
      </c>
      <c r="D55" s="7" t="s">
        <v>346</v>
      </c>
      <c r="E55" s="7" t="s">
        <v>554</v>
      </c>
      <c r="F55" s="37">
        <v>2</v>
      </c>
    </row>
    <row r="56" spans="2:6" x14ac:dyDescent="0.35">
      <c r="B56" s="19" t="s">
        <v>572</v>
      </c>
      <c r="C56" s="19" t="s">
        <v>833</v>
      </c>
      <c r="D56" s="7" t="s">
        <v>356</v>
      </c>
      <c r="E56" s="7" t="s">
        <v>555</v>
      </c>
      <c r="F56" s="37">
        <v>2</v>
      </c>
    </row>
    <row r="57" spans="2:6" x14ac:dyDescent="0.35">
      <c r="B57" s="19" t="s">
        <v>572</v>
      </c>
      <c r="C57" s="19" t="s">
        <v>833</v>
      </c>
      <c r="D57" s="7" t="s">
        <v>362</v>
      </c>
      <c r="E57" s="7" t="s">
        <v>556</v>
      </c>
      <c r="F57" s="37">
        <v>2</v>
      </c>
    </row>
    <row r="58" spans="2:6" x14ac:dyDescent="0.35">
      <c r="B58" s="19" t="s">
        <v>572</v>
      </c>
      <c r="C58" s="19" t="s">
        <v>833</v>
      </c>
      <c r="D58" s="7" t="s">
        <v>364</v>
      </c>
      <c r="E58" s="7" t="s">
        <v>557</v>
      </c>
      <c r="F58" s="37">
        <v>4</v>
      </c>
    </row>
    <row r="59" spans="2:6" x14ac:dyDescent="0.35">
      <c r="B59" s="19" t="s">
        <v>572</v>
      </c>
      <c r="C59" s="19" t="s">
        <v>833</v>
      </c>
      <c r="D59" s="7" t="s">
        <v>372</v>
      </c>
      <c r="E59" s="7" t="s">
        <v>558</v>
      </c>
      <c r="F59" s="37">
        <v>4</v>
      </c>
    </row>
    <row r="60" spans="2:6" x14ac:dyDescent="0.35">
      <c r="B60" s="19" t="s">
        <v>572</v>
      </c>
      <c r="C60" s="19" t="s">
        <v>833</v>
      </c>
      <c r="D60" s="7" t="s">
        <v>380</v>
      </c>
      <c r="E60" s="7" t="s">
        <v>559</v>
      </c>
      <c r="F60" s="37">
        <v>2</v>
      </c>
    </row>
    <row r="61" spans="2:6" x14ac:dyDescent="0.35">
      <c r="B61" s="19" t="s">
        <v>572</v>
      </c>
      <c r="C61" s="19" t="s">
        <v>833</v>
      </c>
      <c r="D61" s="7" t="s">
        <v>438</v>
      </c>
      <c r="E61" s="7" t="s">
        <v>560</v>
      </c>
      <c r="F61" s="37">
        <v>2</v>
      </c>
    </row>
    <row r="62" spans="2:6" x14ac:dyDescent="0.35">
      <c r="B62" s="19" t="s">
        <v>572</v>
      </c>
      <c r="C62" s="19" t="s">
        <v>833</v>
      </c>
      <c r="D62" s="7" t="s">
        <v>480</v>
      </c>
      <c r="E62" s="7" t="s">
        <v>561</v>
      </c>
      <c r="F62" s="37">
        <v>0.01</v>
      </c>
    </row>
    <row r="63" spans="2:6" x14ac:dyDescent="0.35">
      <c r="B63" s="19" t="s">
        <v>572</v>
      </c>
      <c r="C63" s="19" t="s">
        <v>833</v>
      </c>
      <c r="D63" s="7" t="s">
        <v>482</v>
      </c>
      <c r="E63" s="7" t="s">
        <v>562</v>
      </c>
      <c r="F63" s="37">
        <v>2E-3</v>
      </c>
    </row>
    <row r="64" spans="2:6" x14ac:dyDescent="0.35">
      <c r="B64" s="19" t="s">
        <v>572</v>
      </c>
      <c r="C64" s="19" t="s">
        <v>833</v>
      </c>
      <c r="D64" s="7" t="s">
        <v>484</v>
      </c>
      <c r="E64" s="7" t="s">
        <v>563</v>
      </c>
      <c r="F64" s="37">
        <v>4</v>
      </c>
    </row>
    <row r="65" spans="2:6" x14ac:dyDescent="0.35">
      <c r="B65" s="19" t="s">
        <v>580</v>
      </c>
      <c r="C65" s="19" t="s">
        <v>835</v>
      </c>
      <c r="D65" s="6" t="s">
        <v>11</v>
      </c>
      <c r="E65" s="7" t="s">
        <v>581</v>
      </c>
      <c r="F65" s="37">
        <v>1</v>
      </c>
    </row>
    <row r="66" spans="2:6" x14ac:dyDescent="0.35">
      <c r="B66" s="19" t="s">
        <v>580</v>
      </c>
      <c r="C66" s="19" t="s">
        <v>835</v>
      </c>
      <c r="D66" s="7" t="s">
        <v>136</v>
      </c>
      <c r="E66" s="7" t="s">
        <v>582</v>
      </c>
      <c r="F66" s="37">
        <v>2</v>
      </c>
    </row>
    <row r="67" spans="2:6" x14ac:dyDescent="0.35">
      <c r="B67" s="19" t="s">
        <v>580</v>
      </c>
      <c r="C67" s="19" t="s">
        <v>835</v>
      </c>
      <c r="D67" s="6" t="s">
        <v>168</v>
      </c>
      <c r="E67" s="7" t="s">
        <v>583</v>
      </c>
      <c r="F67" s="37">
        <v>2</v>
      </c>
    </row>
    <row r="68" spans="2:6" x14ac:dyDescent="0.35">
      <c r="B68" s="19" t="s">
        <v>580</v>
      </c>
      <c r="C68" s="19" t="s">
        <v>835</v>
      </c>
      <c r="D68" s="6" t="s">
        <v>170</v>
      </c>
      <c r="E68" s="7" t="s">
        <v>584</v>
      </c>
      <c r="F68" s="37">
        <v>2</v>
      </c>
    </row>
    <row r="69" spans="2:6" x14ac:dyDescent="0.35">
      <c r="B69" s="19" t="s">
        <v>580</v>
      </c>
      <c r="C69" s="19" t="s">
        <v>835</v>
      </c>
      <c r="D69" s="7" t="s">
        <v>258</v>
      </c>
      <c r="E69" s="7" t="s">
        <v>585</v>
      </c>
      <c r="F69" s="37">
        <v>2</v>
      </c>
    </row>
    <row r="70" spans="2:6" x14ac:dyDescent="0.35">
      <c r="B70" s="19" t="s">
        <v>580</v>
      </c>
      <c r="C70" s="19" t="s">
        <v>835</v>
      </c>
      <c r="D70" s="7" t="s">
        <v>274</v>
      </c>
      <c r="E70" s="7" t="s">
        <v>586</v>
      </c>
      <c r="F70" s="37">
        <v>2</v>
      </c>
    </row>
    <row r="71" spans="2:6" x14ac:dyDescent="0.35">
      <c r="B71" s="19" t="s">
        <v>580</v>
      </c>
      <c r="C71" s="19" t="s">
        <v>835</v>
      </c>
      <c r="D71" s="7" t="s">
        <v>284</v>
      </c>
      <c r="E71" s="7" t="s">
        <v>587</v>
      </c>
      <c r="F71" s="37">
        <v>2</v>
      </c>
    </row>
    <row r="72" spans="2:6" x14ac:dyDescent="0.35">
      <c r="B72" s="19" t="s">
        <v>580</v>
      </c>
      <c r="C72" s="19" t="s">
        <v>835</v>
      </c>
      <c r="D72" s="7" t="s">
        <v>294</v>
      </c>
      <c r="E72" s="7" t="s">
        <v>588</v>
      </c>
      <c r="F72" s="37">
        <v>2</v>
      </c>
    </row>
    <row r="73" spans="2:6" x14ac:dyDescent="0.35">
      <c r="B73" s="19" t="s">
        <v>580</v>
      </c>
      <c r="C73" s="19" t="s">
        <v>835</v>
      </c>
      <c r="D73" s="7" t="s">
        <v>304</v>
      </c>
      <c r="E73" s="7" t="s">
        <v>589</v>
      </c>
      <c r="F73" s="37">
        <v>2</v>
      </c>
    </row>
    <row r="74" spans="2:6" x14ac:dyDescent="0.35">
      <c r="B74" s="19" t="s">
        <v>580</v>
      </c>
      <c r="C74" s="19" t="s">
        <v>835</v>
      </c>
      <c r="D74" s="7" t="s">
        <v>332</v>
      </c>
      <c r="E74" s="7" t="s">
        <v>552</v>
      </c>
      <c r="F74" s="37">
        <v>4</v>
      </c>
    </row>
    <row r="75" spans="2:6" x14ac:dyDescent="0.35">
      <c r="B75" s="19" t="s">
        <v>580</v>
      </c>
      <c r="C75" s="19" t="s">
        <v>835</v>
      </c>
      <c r="D75" s="7" t="s">
        <v>338</v>
      </c>
      <c r="E75" s="7" t="s">
        <v>590</v>
      </c>
      <c r="F75" s="37">
        <v>2</v>
      </c>
    </row>
    <row r="76" spans="2:6" x14ac:dyDescent="0.35">
      <c r="B76" s="19" t="s">
        <v>580</v>
      </c>
      <c r="C76" s="19" t="s">
        <v>835</v>
      </c>
      <c r="D76" s="7" t="s">
        <v>348</v>
      </c>
      <c r="E76" s="7" t="s">
        <v>591</v>
      </c>
      <c r="F76" s="37">
        <v>2</v>
      </c>
    </row>
    <row r="77" spans="2:6" x14ac:dyDescent="0.35">
      <c r="B77" s="19" t="s">
        <v>580</v>
      </c>
      <c r="C77" s="19" t="s">
        <v>835</v>
      </c>
      <c r="D77" s="7" t="s">
        <v>358</v>
      </c>
      <c r="E77" s="7" t="s">
        <v>592</v>
      </c>
      <c r="F77" s="37">
        <v>2</v>
      </c>
    </row>
    <row r="78" spans="2:6" x14ac:dyDescent="0.35">
      <c r="B78" s="19" t="s">
        <v>580</v>
      </c>
      <c r="C78" s="19" t="s">
        <v>835</v>
      </c>
      <c r="D78" s="7" t="s">
        <v>360</v>
      </c>
      <c r="E78" s="7" t="s">
        <v>593</v>
      </c>
      <c r="F78" s="37">
        <v>2</v>
      </c>
    </row>
    <row r="79" spans="2:6" x14ac:dyDescent="0.35">
      <c r="B79" s="19" t="s">
        <v>580</v>
      </c>
      <c r="C79" s="19" t="s">
        <v>835</v>
      </c>
      <c r="D79" s="7" t="s">
        <v>364</v>
      </c>
      <c r="E79" s="7" t="s">
        <v>557</v>
      </c>
      <c r="F79" s="37">
        <v>4</v>
      </c>
    </row>
    <row r="80" spans="2:6" x14ac:dyDescent="0.35">
      <c r="B80" s="19" t="s">
        <v>580</v>
      </c>
      <c r="C80" s="19" t="s">
        <v>835</v>
      </c>
      <c r="D80" s="7" t="s">
        <v>370</v>
      </c>
      <c r="E80" s="7" t="s">
        <v>594</v>
      </c>
      <c r="F80" s="37">
        <v>2</v>
      </c>
    </row>
    <row r="81" spans="2:6" x14ac:dyDescent="0.35">
      <c r="B81" s="19" t="s">
        <v>580</v>
      </c>
      <c r="C81" s="19" t="s">
        <v>835</v>
      </c>
      <c r="D81" s="7" t="s">
        <v>372</v>
      </c>
      <c r="E81" s="7" t="s">
        <v>558</v>
      </c>
      <c r="F81" s="37">
        <v>4</v>
      </c>
    </row>
    <row r="82" spans="2:6" x14ac:dyDescent="0.35">
      <c r="B82" s="19" t="s">
        <v>580</v>
      </c>
      <c r="C82" s="19" t="s">
        <v>835</v>
      </c>
      <c r="D82" s="7" t="s">
        <v>382</v>
      </c>
      <c r="E82" s="7" t="s">
        <v>595</v>
      </c>
      <c r="F82" s="37">
        <v>2</v>
      </c>
    </row>
    <row r="83" spans="2:6" x14ac:dyDescent="0.35">
      <c r="B83" s="19" t="s">
        <v>580</v>
      </c>
      <c r="C83" s="19" t="s">
        <v>835</v>
      </c>
      <c r="D83" s="7" t="s">
        <v>480</v>
      </c>
      <c r="E83" s="7" t="s">
        <v>561</v>
      </c>
      <c r="F83" s="37">
        <v>0.01</v>
      </c>
    </row>
    <row r="84" spans="2:6" x14ac:dyDescent="0.35">
      <c r="B84" s="19" t="s">
        <v>580</v>
      </c>
      <c r="C84" s="19" t="s">
        <v>835</v>
      </c>
      <c r="D84" s="7" t="s">
        <v>482</v>
      </c>
      <c r="E84" s="7" t="s">
        <v>562</v>
      </c>
      <c r="F84" s="37">
        <v>2E-3</v>
      </c>
    </row>
    <row r="85" spans="2:6" x14ac:dyDescent="0.35">
      <c r="B85" s="19" t="s">
        <v>580</v>
      </c>
      <c r="C85" s="19" t="s">
        <v>835</v>
      </c>
      <c r="D85" s="7" t="s">
        <v>484</v>
      </c>
      <c r="E85" s="7" t="s">
        <v>563</v>
      </c>
      <c r="F85" s="37">
        <v>4</v>
      </c>
    </row>
    <row r="86" spans="2:6" x14ac:dyDescent="0.35">
      <c r="B86" s="19" t="s">
        <v>596</v>
      </c>
      <c r="C86" s="19" t="s">
        <v>837</v>
      </c>
      <c r="D86" s="6" t="s">
        <v>11</v>
      </c>
      <c r="E86" s="7" t="s">
        <v>581</v>
      </c>
      <c r="F86" s="37">
        <v>1</v>
      </c>
    </row>
    <row r="87" spans="2:6" x14ac:dyDescent="0.35">
      <c r="B87" s="19" t="s">
        <v>596</v>
      </c>
      <c r="C87" s="19" t="s">
        <v>837</v>
      </c>
      <c r="D87" s="7" t="s">
        <v>136</v>
      </c>
      <c r="E87" s="7" t="s">
        <v>582</v>
      </c>
      <c r="F87" s="37">
        <v>2</v>
      </c>
    </row>
    <row r="88" spans="2:6" x14ac:dyDescent="0.35">
      <c r="B88" s="19" t="s">
        <v>596</v>
      </c>
      <c r="C88" s="19" t="s">
        <v>837</v>
      </c>
      <c r="D88" s="6" t="s">
        <v>168</v>
      </c>
      <c r="E88" s="7" t="s">
        <v>583</v>
      </c>
      <c r="F88" s="37">
        <v>2</v>
      </c>
    </row>
    <row r="89" spans="2:6" x14ac:dyDescent="0.35">
      <c r="B89" s="19" t="s">
        <v>596</v>
      </c>
      <c r="C89" s="19" t="s">
        <v>837</v>
      </c>
      <c r="D89" s="6" t="s">
        <v>170</v>
      </c>
      <c r="E89" s="7" t="s">
        <v>584</v>
      </c>
      <c r="F89" s="37">
        <v>2</v>
      </c>
    </row>
    <row r="90" spans="2:6" x14ac:dyDescent="0.35">
      <c r="B90" s="19" t="s">
        <v>596</v>
      </c>
      <c r="C90" s="19" t="s">
        <v>837</v>
      </c>
      <c r="D90" s="7" t="s">
        <v>260</v>
      </c>
      <c r="E90" s="7" t="s">
        <v>597</v>
      </c>
      <c r="F90" s="37">
        <v>2</v>
      </c>
    </row>
    <row r="91" spans="2:6" x14ac:dyDescent="0.35">
      <c r="B91" s="19" t="s">
        <v>596</v>
      </c>
      <c r="C91" s="19" t="s">
        <v>837</v>
      </c>
      <c r="D91" s="7" t="s">
        <v>274</v>
      </c>
      <c r="E91" s="7" t="s">
        <v>586</v>
      </c>
      <c r="F91" s="37">
        <v>2</v>
      </c>
    </row>
    <row r="92" spans="2:6" x14ac:dyDescent="0.35">
      <c r="B92" s="19" t="s">
        <v>596</v>
      </c>
      <c r="C92" s="19" t="s">
        <v>837</v>
      </c>
      <c r="D92" s="7" t="s">
        <v>284</v>
      </c>
      <c r="E92" s="7" t="s">
        <v>587</v>
      </c>
      <c r="F92" s="37">
        <v>2</v>
      </c>
    </row>
    <row r="93" spans="2:6" x14ac:dyDescent="0.35">
      <c r="B93" s="19" t="s">
        <v>596</v>
      </c>
      <c r="C93" s="19" t="s">
        <v>837</v>
      </c>
      <c r="D93" s="7" t="s">
        <v>294</v>
      </c>
      <c r="E93" s="7" t="s">
        <v>588</v>
      </c>
      <c r="F93" s="37">
        <v>2</v>
      </c>
    </row>
    <row r="94" spans="2:6" x14ac:dyDescent="0.35">
      <c r="B94" s="19" t="s">
        <v>596</v>
      </c>
      <c r="C94" s="19" t="s">
        <v>837</v>
      </c>
      <c r="D94" s="7" t="s">
        <v>304</v>
      </c>
      <c r="E94" s="7" t="s">
        <v>589</v>
      </c>
      <c r="F94" s="37">
        <v>2</v>
      </c>
    </row>
    <row r="95" spans="2:6" x14ac:dyDescent="0.35">
      <c r="B95" s="19" t="s">
        <v>596</v>
      </c>
      <c r="C95" s="19" t="s">
        <v>837</v>
      </c>
      <c r="D95" s="7" t="s">
        <v>332</v>
      </c>
      <c r="E95" s="7" t="s">
        <v>552</v>
      </c>
      <c r="F95" s="37">
        <v>4</v>
      </c>
    </row>
    <row r="96" spans="2:6" x14ac:dyDescent="0.35">
      <c r="B96" s="19" t="s">
        <v>596</v>
      </c>
      <c r="C96" s="19" t="s">
        <v>837</v>
      </c>
      <c r="D96" s="7" t="s">
        <v>338</v>
      </c>
      <c r="E96" s="7" t="s">
        <v>590</v>
      </c>
      <c r="F96" s="37">
        <v>2</v>
      </c>
    </row>
    <row r="97" spans="2:6" x14ac:dyDescent="0.35">
      <c r="B97" s="19" t="s">
        <v>596</v>
      </c>
      <c r="C97" s="19" t="s">
        <v>837</v>
      </c>
      <c r="D97" s="7" t="s">
        <v>348</v>
      </c>
      <c r="E97" s="7" t="s">
        <v>591</v>
      </c>
      <c r="F97" s="37">
        <v>2</v>
      </c>
    </row>
    <row r="98" spans="2:6" x14ac:dyDescent="0.35">
      <c r="B98" s="19" t="s">
        <v>596</v>
      </c>
      <c r="C98" s="19" t="s">
        <v>837</v>
      </c>
      <c r="D98" s="7" t="s">
        <v>358</v>
      </c>
      <c r="E98" s="7" t="s">
        <v>592</v>
      </c>
      <c r="F98" s="37">
        <v>2</v>
      </c>
    </row>
    <row r="99" spans="2:6" x14ac:dyDescent="0.35">
      <c r="B99" s="19" t="s">
        <v>596</v>
      </c>
      <c r="C99" s="19" t="s">
        <v>837</v>
      </c>
      <c r="D99" s="7" t="s">
        <v>360</v>
      </c>
      <c r="E99" s="7" t="s">
        <v>593</v>
      </c>
      <c r="F99" s="37">
        <v>2</v>
      </c>
    </row>
    <row r="100" spans="2:6" x14ac:dyDescent="0.35">
      <c r="B100" s="19" t="s">
        <v>596</v>
      </c>
      <c r="C100" s="19" t="s">
        <v>837</v>
      </c>
      <c r="D100" s="7" t="s">
        <v>364</v>
      </c>
      <c r="E100" s="7" t="s">
        <v>557</v>
      </c>
      <c r="F100" s="37">
        <v>4</v>
      </c>
    </row>
    <row r="101" spans="2:6" x14ac:dyDescent="0.35">
      <c r="B101" s="19" t="s">
        <v>596</v>
      </c>
      <c r="C101" s="19" t="s">
        <v>837</v>
      </c>
      <c r="D101" s="7" t="s">
        <v>370</v>
      </c>
      <c r="E101" s="7" t="s">
        <v>594</v>
      </c>
      <c r="F101" s="37">
        <v>2</v>
      </c>
    </row>
    <row r="102" spans="2:6" x14ac:dyDescent="0.35">
      <c r="B102" s="19" t="s">
        <v>596</v>
      </c>
      <c r="C102" s="19" t="s">
        <v>837</v>
      </c>
      <c r="D102" s="7" t="s">
        <v>372</v>
      </c>
      <c r="E102" s="7" t="s">
        <v>558</v>
      </c>
      <c r="F102" s="37">
        <v>4</v>
      </c>
    </row>
    <row r="103" spans="2:6" x14ac:dyDescent="0.35">
      <c r="B103" s="19" t="s">
        <v>596</v>
      </c>
      <c r="C103" s="19" t="s">
        <v>837</v>
      </c>
      <c r="D103" s="7" t="s">
        <v>382</v>
      </c>
      <c r="E103" s="7" t="s">
        <v>595</v>
      </c>
      <c r="F103" s="37">
        <v>2</v>
      </c>
    </row>
    <row r="104" spans="2:6" x14ac:dyDescent="0.35">
      <c r="B104" s="19" t="s">
        <v>596</v>
      </c>
      <c r="C104" s="19" t="s">
        <v>837</v>
      </c>
      <c r="D104" s="7" t="s">
        <v>480</v>
      </c>
      <c r="E104" s="7" t="s">
        <v>561</v>
      </c>
      <c r="F104" s="37">
        <v>0.01</v>
      </c>
    </row>
    <row r="105" spans="2:6" x14ac:dyDescent="0.35">
      <c r="B105" s="19" t="s">
        <v>596</v>
      </c>
      <c r="C105" s="19" t="s">
        <v>837</v>
      </c>
      <c r="D105" s="7" t="s">
        <v>482</v>
      </c>
      <c r="E105" s="7" t="s">
        <v>562</v>
      </c>
      <c r="F105" s="37">
        <v>2E-3</v>
      </c>
    </row>
    <row r="106" spans="2:6" x14ac:dyDescent="0.35">
      <c r="B106" s="19" t="s">
        <v>596</v>
      </c>
      <c r="C106" s="19" t="s">
        <v>837</v>
      </c>
      <c r="D106" s="7" t="s">
        <v>484</v>
      </c>
      <c r="E106" s="7" t="s">
        <v>563</v>
      </c>
      <c r="F106" s="37">
        <v>4</v>
      </c>
    </row>
    <row r="107" spans="2:6" x14ac:dyDescent="0.35">
      <c r="B107" s="19" t="s">
        <v>598</v>
      </c>
      <c r="C107" s="19" t="s">
        <v>839</v>
      </c>
      <c r="D107" s="6" t="s">
        <v>13</v>
      </c>
      <c r="E107" s="7" t="s">
        <v>599</v>
      </c>
      <c r="F107" s="37">
        <v>1</v>
      </c>
    </row>
    <row r="108" spans="2:6" x14ac:dyDescent="0.35">
      <c r="B108" s="19" t="s">
        <v>598</v>
      </c>
      <c r="C108" s="19" t="s">
        <v>839</v>
      </c>
      <c r="D108" s="7" t="s">
        <v>138</v>
      </c>
      <c r="E108" s="7" t="s">
        <v>600</v>
      </c>
      <c r="F108" s="37">
        <v>2</v>
      </c>
    </row>
    <row r="109" spans="2:6" x14ac:dyDescent="0.35">
      <c r="B109" s="19" t="s">
        <v>598</v>
      </c>
      <c r="C109" s="19" t="s">
        <v>839</v>
      </c>
      <c r="D109" s="6" t="s">
        <v>176</v>
      </c>
      <c r="E109" s="7" t="s">
        <v>601</v>
      </c>
      <c r="F109" s="37">
        <v>2</v>
      </c>
    </row>
    <row r="110" spans="2:6" x14ac:dyDescent="0.35">
      <c r="B110" s="19" t="s">
        <v>598</v>
      </c>
      <c r="C110" s="19" t="s">
        <v>839</v>
      </c>
      <c r="D110" s="6" t="s">
        <v>178</v>
      </c>
      <c r="E110" s="7" t="s">
        <v>602</v>
      </c>
      <c r="F110" s="37">
        <v>2</v>
      </c>
    </row>
    <row r="111" spans="2:6" x14ac:dyDescent="0.35">
      <c r="B111" s="19" t="s">
        <v>598</v>
      </c>
      <c r="C111" s="19" t="s">
        <v>839</v>
      </c>
      <c r="D111" s="7" t="s">
        <v>224</v>
      </c>
      <c r="E111" s="7" t="s">
        <v>603</v>
      </c>
      <c r="F111" s="37">
        <v>2</v>
      </c>
    </row>
    <row r="112" spans="2:6" x14ac:dyDescent="0.35">
      <c r="B112" s="19" t="s">
        <v>598</v>
      </c>
      <c r="C112" s="19" t="s">
        <v>839</v>
      </c>
      <c r="D112" s="7" t="s">
        <v>226</v>
      </c>
      <c r="E112" s="7" t="s">
        <v>604</v>
      </c>
      <c r="F112" s="37">
        <v>2</v>
      </c>
    </row>
    <row r="113" spans="2:6" x14ac:dyDescent="0.35">
      <c r="B113" s="19" t="s">
        <v>598</v>
      </c>
      <c r="C113" s="19" t="s">
        <v>839</v>
      </c>
      <c r="D113" s="7" t="s">
        <v>284</v>
      </c>
      <c r="E113" s="7" t="s">
        <v>587</v>
      </c>
      <c r="F113" s="37">
        <v>2</v>
      </c>
    </row>
    <row r="114" spans="2:6" x14ac:dyDescent="0.35">
      <c r="B114" s="19" t="s">
        <v>598</v>
      </c>
      <c r="C114" s="19" t="s">
        <v>839</v>
      </c>
      <c r="D114" s="7" t="s">
        <v>294</v>
      </c>
      <c r="E114" s="7" t="s">
        <v>588</v>
      </c>
      <c r="F114" s="37">
        <v>2</v>
      </c>
    </row>
    <row r="115" spans="2:6" x14ac:dyDescent="0.35">
      <c r="B115" s="19" t="s">
        <v>598</v>
      </c>
      <c r="C115" s="19" t="s">
        <v>839</v>
      </c>
      <c r="D115" s="7" t="s">
        <v>306</v>
      </c>
      <c r="E115" s="7" t="s">
        <v>605</v>
      </c>
      <c r="F115" s="37">
        <v>4</v>
      </c>
    </row>
    <row r="116" spans="2:6" x14ac:dyDescent="0.35">
      <c r="B116" s="19" t="s">
        <v>598</v>
      </c>
      <c r="C116" s="19" t="s">
        <v>839</v>
      </c>
      <c r="D116" s="7" t="s">
        <v>332</v>
      </c>
      <c r="E116" s="7" t="s">
        <v>552</v>
      </c>
      <c r="F116" s="37">
        <v>4</v>
      </c>
    </row>
    <row r="117" spans="2:6" x14ac:dyDescent="0.35">
      <c r="B117" s="19" t="s">
        <v>598</v>
      </c>
      <c r="C117" s="19" t="s">
        <v>839</v>
      </c>
      <c r="D117" s="7" t="s">
        <v>340</v>
      </c>
      <c r="E117" s="7" t="s">
        <v>606</v>
      </c>
      <c r="F117" s="37">
        <v>2</v>
      </c>
    </row>
    <row r="118" spans="2:6" x14ac:dyDescent="0.35">
      <c r="B118" s="19" t="s">
        <v>598</v>
      </c>
      <c r="C118" s="19" t="s">
        <v>839</v>
      </c>
      <c r="D118" s="7" t="s">
        <v>348</v>
      </c>
      <c r="E118" s="7" t="s">
        <v>591</v>
      </c>
      <c r="F118" s="37">
        <v>2</v>
      </c>
    </row>
    <row r="119" spans="2:6" x14ac:dyDescent="0.35">
      <c r="B119" s="19" t="s">
        <v>598</v>
      </c>
      <c r="C119" s="19" t="s">
        <v>839</v>
      </c>
      <c r="D119" s="7" t="s">
        <v>358</v>
      </c>
      <c r="E119" s="7" t="s">
        <v>592</v>
      </c>
      <c r="F119" s="37">
        <v>2</v>
      </c>
    </row>
    <row r="120" spans="2:6" x14ac:dyDescent="0.35">
      <c r="B120" s="19" t="s">
        <v>598</v>
      </c>
      <c r="C120" s="19" t="s">
        <v>839</v>
      </c>
      <c r="D120" s="7" t="s">
        <v>360</v>
      </c>
      <c r="E120" s="7" t="s">
        <v>593</v>
      </c>
      <c r="F120" s="37">
        <v>2</v>
      </c>
    </row>
    <row r="121" spans="2:6" x14ac:dyDescent="0.35">
      <c r="B121" s="19" t="s">
        <v>598</v>
      </c>
      <c r="C121" s="19" t="s">
        <v>839</v>
      </c>
      <c r="D121" s="7" t="s">
        <v>364</v>
      </c>
      <c r="E121" s="7" t="s">
        <v>557</v>
      </c>
      <c r="F121" s="37">
        <v>4</v>
      </c>
    </row>
    <row r="122" spans="2:6" x14ac:dyDescent="0.35">
      <c r="B122" s="19" t="s">
        <v>598</v>
      </c>
      <c r="C122" s="19" t="s">
        <v>839</v>
      </c>
      <c r="D122" s="7" t="s">
        <v>370</v>
      </c>
      <c r="E122" s="7" t="s">
        <v>594</v>
      </c>
      <c r="F122" s="37">
        <v>2</v>
      </c>
    </row>
    <row r="123" spans="2:6" x14ac:dyDescent="0.35">
      <c r="B123" s="19" t="s">
        <v>598</v>
      </c>
      <c r="C123" s="19" t="s">
        <v>839</v>
      </c>
      <c r="D123" s="7" t="s">
        <v>372</v>
      </c>
      <c r="E123" s="7" t="s">
        <v>558</v>
      </c>
      <c r="F123" s="37">
        <v>4</v>
      </c>
    </row>
    <row r="124" spans="2:6" x14ac:dyDescent="0.35">
      <c r="B124" s="19" t="s">
        <v>598</v>
      </c>
      <c r="C124" s="19" t="s">
        <v>839</v>
      </c>
      <c r="D124" s="7" t="s">
        <v>382</v>
      </c>
      <c r="E124" s="7" t="s">
        <v>595</v>
      </c>
      <c r="F124" s="37">
        <v>2</v>
      </c>
    </row>
    <row r="125" spans="2:6" x14ac:dyDescent="0.35">
      <c r="B125" s="19" t="s">
        <v>598</v>
      </c>
      <c r="C125" s="19" t="s">
        <v>839</v>
      </c>
      <c r="D125" s="7" t="s">
        <v>480</v>
      </c>
      <c r="E125" s="7" t="s">
        <v>561</v>
      </c>
      <c r="F125" s="37">
        <v>0.01</v>
      </c>
    </row>
    <row r="126" spans="2:6" x14ac:dyDescent="0.35">
      <c r="B126" s="19" t="s">
        <v>598</v>
      </c>
      <c r="C126" s="19" t="s">
        <v>839</v>
      </c>
      <c r="D126" s="7" t="s">
        <v>482</v>
      </c>
      <c r="E126" s="7" t="s">
        <v>562</v>
      </c>
      <c r="F126" s="37">
        <v>2E-3</v>
      </c>
    </row>
    <row r="127" spans="2:6" x14ac:dyDescent="0.35">
      <c r="B127" s="19" t="s">
        <v>598</v>
      </c>
      <c r="C127" s="19" t="s">
        <v>839</v>
      </c>
      <c r="D127" s="7" t="s">
        <v>484</v>
      </c>
      <c r="E127" s="7" t="s">
        <v>563</v>
      </c>
      <c r="F127" s="37">
        <v>4</v>
      </c>
    </row>
    <row r="128" spans="2:6" x14ac:dyDescent="0.35">
      <c r="B128" s="19" t="s">
        <v>598</v>
      </c>
      <c r="C128" s="19" t="s">
        <v>839</v>
      </c>
      <c r="D128" s="6" t="s">
        <v>15</v>
      </c>
      <c r="E128" s="7" t="s">
        <v>607</v>
      </c>
      <c r="F128" s="37">
        <v>1</v>
      </c>
    </row>
    <row r="129" spans="2:6" x14ac:dyDescent="0.35">
      <c r="B129" s="19" t="s">
        <v>608</v>
      </c>
      <c r="C129" s="19" t="s">
        <v>841</v>
      </c>
      <c r="D129" s="7" t="s">
        <v>140</v>
      </c>
      <c r="E129" s="7" t="s">
        <v>609</v>
      </c>
      <c r="F129" s="37">
        <v>2</v>
      </c>
    </row>
    <row r="130" spans="2:6" x14ac:dyDescent="0.35">
      <c r="B130" s="19" t="s">
        <v>608</v>
      </c>
      <c r="C130" s="19" t="s">
        <v>841</v>
      </c>
      <c r="D130" s="6" t="s">
        <v>180</v>
      </c>
      <c r="E130" s="7" t="s">
        <v>610</v>
      </c>
      <c r="F130" s="37">
        <v>2</v>
      </c>
    </row>
    <row r="131" spans="2:6" x14ac:dyDescent="0.35">
      <c r="B131" s="19" t="s">
        <v>608</v>
      </c>
      <c r="C131" s="19" t="s">
        <v>841</v>
      </c>
      <c r="D131" s="6" t="s">
        <v>182</v>
      </c>
      <c r="E131" s="7" t="s">
        <v>611</v>
      </c>
      <c r="F131" s="37">
        <v>2</v>
      </c>
    </row>
    <row r="132" spans="2:6" x14ac:dyDescent="0.35">
      <c r="B132" s="19" t="s">
        <v>608</v>
      </c>
      <c r="C132" s="19" t="s">
        <v>841</v>
      </c>
      <c r="D132" s="7" t="s">
        <v>228</v>
      </c>
      <c r="E132" s="7" t="s">
        <v>612</v>
      </c>
      <c r="F132" s="37">
        <v>2</v>
      </c>
    </row>
    <row r="133" spans="2:6" x14ac:dyDescent="0.35">
      <c r="B133" s="19" t="s">
        <v>608</v>
      </c>
      <c r="C133" s="19" t="s">
        <v>841</v>
      </c>
      <c r="D133" s="7" t="s">
        <v>230</v>
      </c>
      <c r="E133" s="7" t="s">
        <v>613</v>
      </c>
      <c r="F133" s="37">
        <v>2</v>
      </c>
    </row>
    <row r="134" spans="2:6" x14ac:dyDescent="0.35">
      <c r="B134" s="19" t="s">
        <v>608</v>
      </c>
      <c r="C134" s="19" t="s">
        <v>841</v>
      </c>
      <c r="D134" s="7" t="s">
        <v>284</v>
      </c>
      <c r="E134" s="7" t="s">
        <v>587</v>
      </c>
      <c r="F134" s="37">
        <v>2</v>
      </c>
    </row>
    <row r="135" spans="2:6" x14ac:dyDescent="0.35">
      <c r="B135" s="19" t="s">
        <v>608</v>
      </c>
      <c r="C135" s="19" t="s">
        <v>841</v>
      </c>
      <c r="D135" s="7" t="s">
        <v>294</v>
      </c>
      <c r="E135" s="7" t="s">
        <v>588</v>
      </c>
      <c r="F135" s="37">
        <v>2</v>
      </c>
    </row>
    <row r="136" spans="2:6" x14ac:dyDescent="0.35">
      <c r="B136" s="19" t="s">
        <v>608</v>
      </c>
      <c r="C136" s="19" t="s">
        <v>841</v>
      </c>
      <c r="D136" s="7" t="s">
        <v>308</v>
      </c>
      <c r="E136" s="7" t="s">
        <v>614</v>
      </c>
      <c r="F136" s="37">
        <v>4</v>
      </c>
    </row>
    <row r="137" spans="2:6" x14ac:dyDescent="0.35">
      <c r="B137" s="19" t="s">
        <v>608</v>
      </c>
      <c r="C137" s="19" t="s">
        <v>841</v>
      </c>
      <c r="D137" s="7" t="s">
        <v>332</v>
      </c>
      <c r="E137" s="7" t="s">
        <v>552</v>
      </c>
      <c r="F137" s="37">
        <v>4</v>
      </c>
    </row>
    <row r="138" spans="2:6" x14ac:dyDescent="0.35">
      <c r="B138" s="19" t="s">
        <v>608</v>
      </c>
      <c r="C138" s="19" t="s">
        <v>841</v>
      </c>
      <c r="D138" s="7" t="s">
        <v>340</v>
      </c>
      <c r="E138" s="7" t="s">
        <v>606</v>
      </c>
      <c r="F138" s="37">
        <v>2</v>
      </c>
    </row>
    <row r="139" spans="2:6" x14ac:dyDescent="0.35">
      <c r="B139" s="19" t="s">
        <v>608</v>
      </c>
      <c r="C139" s="19" t="s">
        <v>841</v>
      </c>
      <c r="D139" s="7" t="s">
        <v>348</v>
      </c>
      <c r="E139" s="7" t="s">
        <v>591</v>
      </c>
      <c r="F139" s="37">
        <v>2</v>
      </c>
    </row>
    <row r="140" spans="2:6" x14ac:dyDescent="0.35">
      <c r="B140" s="19" t="s">
        <v>608</v>
      </c>
      <c r="C140" s="19" t="s">
        <v>841</v>
      </c>
      <c r="D140" s="7" t="s">
        <v>358</v>
      </c>
      <c r="E140" s="7" t="s">
        <v>592</v>
      </c>
      <c r="F140" s="37">
        <v>2</v>
      </c>
    </row>
    <row r="141" spans="2:6" x14ac:dyDescent="0.35">
      <c r="B141" s="19" t="s">
        <v>608</v>
      </c>
      <c r="C141" s="19" t="s">
        <v>841</v>
      </c>
      <c r="D141" s="7" t="s">
        <v>360</v>
      </c>
      <c r="E141" s="7" t="s">
        <v>593</v>
      </c>
      <c r="F141" s="37">
        <v>2</v>
      </c>
    </row>
    <row r="142" spans="2:6" x14ac:dyDescent="0.35">
      <c r="B142" s="19" t="s">
        <v>608</v>
      </c>
      <c r="C142" s="19" t="s">
        <v>841</v>
      </c>
      <c r="D142" s="7" t="s">
        <v>364</v>
      </c>
      <c r="E142" s="7" t="s">
        <v>557</v>
      </c>
      <c r="F142" s="37">
        <v>4</v>
      </c>
    </row>
    <row r="143" spans="2:6" x14ac:dyDescent="0.35">
      <c r="B143" s="19" t="s">
        <v>608</v>
      </c>
      <c r="C143" s="19" t="s">
        <v>841</v>
      </c>
      <c r="D143" s="7" t="s">
        <v>370</v>
      </c>
      <c r="E143" s="7" t="s">
        <v>594</v>
      </c>
      <c r="F143" s="37">
        <v>2</v>
      </c>
    </row>
    <row r="144" spans="2:6" x14ac:dyDescent="0.35">
      <c r="B144" s="19" t="s">
        <v>608</v>
      </c>
      <c r="C144" s="19" t="s">
        <v>841</v>
      </c>
      <c r="D144" s="7" t="s">
        <v>372</v>
      </c>
      <c r="E144" s="7" t="s">
        <v>558</v>
      </c>
      <c r="F144" s="37">
        <v>4</v>
      </c>
    </row>
    <row r="145" spans="2:6" x14ac:dyDescent="0.35">
      <c r="B145" s="19" t="s">
        <v>608</v>
      </c>
      <c r="C145" s="19" t="s">
        <v>841</v>
      </c>
      <c r="D145" s="7" t="s">
        <v>382</v>
      </c>
      <c r="E145" s="7" t="s">
        <v>595</v>
      </c>
      <c r="F145" s="37">
        <v>2</v>
      </c>
    </row>
    <row r="146" spans="2:6" x14ac:dyDescent="0.35">
      <c r="B146" s="19" t="s">
        <v>608</v>
      </c>
      <c r="C146" s="19" t="s">
        <v>841</v>
      </c>
      <c r="D146" s="7" t="s">
        <v>480</v>
      </c>
      <c r="E146" s="7" t="s">
        <v>561</v>
      </c>
      <c r="F146" s="37">
        <v>0.01</v>
      </c>
    </row>
    <row r="147" spans="2:6" x14ac:dyDescent="0.35">
      <c r="B147" s="19" t="s">
        <v>608</v>
      </c>
      <c r="C147" s="19" t="s">
        <v>841</v>
      </c>
      <c r="D147" s="7" t="s">
        <v>482</v>
      </c>
      <c r="E147" s="7" t="s">
        <v>562</v>
      </c>
      <c r="F147" s="37">
        <v>2E-3</v>
      </c>
    </row>
    <row r="148" spans="2:6" x14ac:dyDescent="0.35">
      <c r="B148" s="19" t="s">
        <v>608</v>
      </c>
      <c r="C148" s="19" t="s">
        <v>841</v>
      </c>
      <c r="D148" s="7" t="s">
        <v>484</v>
      </c>
      <c r="E148" s="7" t="s">
        <v>563</v>
      </c>
      <c r="F148" s="37">
        <v>4</v>
      </c>
    </row>
    <row r="149" spans="2:6" x14ac:dyDescent="0.35">
      <c r="B149" s="19" t="s">
        <v>615</v>
      </c>
      <c r="C149" s="19" t="s">
        <v>843</v>
      </c>
      <c r="D149" s="6" t="s">
        <v>19</v>
      </c>
      <c r="E149" s="7" t="s">
        <v>616</v>
      </c>
      <c r="F149" s="37">
        <v>1</v>
      </c>
    </row>
    <row r="150" spans="2:6" x14ac:dyDescent="0.35">
      <c r="B150" s="19" t="s">
        <v>615</v>
      </c>
      <c r="C150" s="19" t="s">
        <v>843</v>
      </c>
      <c r="D150" s="7" t="s">
        <v>142</v>
      </c>
      <c r="E150" s="7" t="s">
        <v>617</v>
      </c>
      <c r="F150" s="37">
        <v>2</v>
      </c>
    </row>
    <row r="151" spans="2:6" x14ac:dyDescent="0.35">
      <c r="B151" s="19" t="s">
        <v>615</v>
      </c>
      <c r="C151" s="19" t="s">
        <v>843</v>
      </c>
      <c r="D151" s="6" t="s">
        <v>192</v>
      </c>
      <c r="E151" s="7" t="s">
        <v>618</v>
      </c>
      <c r="F151" s="37">
        <v>2</v>
      </c>
    </row>
    <row r="152" spans="2:6" x14ac:dyDescent="0.35">
      <c r="B152" s="19" t="s">
        <v>615</v>
      </c>
      <c r="C152" s="19" t="s">
        <v>843</v>
      </c>
      <c r="D152" s="6" t="s">
        <v>194</v>
      </c>
      <c r="E152" s="7" t="s">
        <v>619</v>
      </c>
      <c r="F152" s="37">
        <v>2</v>
      </c>
    </row>
    <row r="153" spans="2:6" x14ac:dyDescent="0.35">
      <c r="B153" s="19" t="s">
        <v>615</v>
      </c>
      <c r="C153" s="19" t="s">
        <v>843</v>
      </c>
      <c r="D153" s="7" t="s">
        <v>236</v>
      </c>
      <c r="E153" s="7" t="s">
        <v>620</v>
      </c>
      <c r="F153" s="37">
        <v>2</v>
      </c>
    </row>
    <row r="154" spans="2:6" x14ac:dyDescent="0.35">
      <c r="B154" s="19" t="s">
        <v>615</v>
      </c>
      <c r="C154" s="19" t="s">
        <v>843</v>
      </c>
      <c r="D154" s="7" t="s">
        <v>238</v>
      </c>
      <c r="E154" s="7" t="s">
        <v>621</v>
      </c>
      <c r="F154" s="37">
        <v>2</v>
      </c>
    </row>
    <row r="155" spans="2:6" x14ac:dyDescent="0.35">
      <c r="B155" s="19" t="s">
        <v>615</v>
      </c>
      <c r="C155" s="19" t="s">
        <v>843</v>
      </c>
      <c r="D155" s="7" t="s">
        <v>284</v>
      </c>
      <c r="E155" s="7" t="s">
        <v>587</v>
      </c>
      <c r="F155" s="37">
        <v>2</v>
      </c>
    </row>
    <row r="156" spans="2:6" x14ac:dyDescent="0.35">
      <c r="B156" s="19" t="s">
        <v>615</v>
      </c>
      <c r="C156" s="19" t="s">
        <v>843</v>
      </c>
      <c r="D156" s="7" t="s">
        <v>294</v>
      </c>
      <c r="E156" s="7" t="s">
        <v>588</v>
      </c>
      <c r="F156" s="37">
        <v>2</v>
      </c>
    </row>
    <row r="157" spans="2:6" x14ac:dyDescent="0.35">
      <c r="B157" s="19" t="s">
        <v>615</v>
      </c>
      <c r="C157" s="19" t="s">
        <v>843</v>
      </c>
      <c r="D157" s="7" t="s">
        <v>310</v>
      </c>
      <c r="E157" s="7" t="s">
        <v>622</v>
      </c>
      <c r="F157" s="37">
        <v>4</v>
      </c>
    </row>
    <row r="158" spans="2:6" x14ac:dyDescent="0.35">
      <c r="B158" s="19" t="s">
        <v>615</v>
      </c>
      <c r="C158" s="19" t="s">
        <v>843</v>
      </c>
      <c r="D158" s="7" t="s">
        <v>332</v>
      </c>
      <c r="E158" s="7" t="s">
        <v>552</v>
      </c>
      <c r="F158" s="37">
        <v>4</v>
      </c>
    </row>
    <row r="159" spans="2:6" x14ac:dyDescent="0.35">
      <c r="B159" s="19" t="s">
        <v>615</v>
      </c>
      <c r="C159" s="19" t="s">
        <v>843</v>
      </c>
      <c r="D159" s="7" t="s">
        <v>340</v>
      </c>
      <c r="E159" s="7" t="s">
        <v>606</v>
      </c>
      <c r="F159" s="37">
        <v>2</v>
      </c>
    </row>
    <row r="160" spans="2:6" x14ac:dyDescent="0.35">
      <c r="B160" s="19" t="s">
        <v>615</v>
      </c>
      <c r="C160" s="19" t="s">
        <v>843</v>
      </c>
      <c r="D160" s="7" t="s">
        <v>348</v>
      </c>
      <c r="E160" s="7" t="s">
        <v>591</v>
      </c>
      <c r="F160" s="37">
        <v>2</v>
      </c>
    </row>
    <row r="161" spans="2:6" x14ac:dyDescent="0.35">
      <c r="B161" s="19" t="s">
        <v>615</v>
      </c>
      <c r="C161" s="19" t="s">
        <v>843</v>
      </c>
      <c r="D161" s="7" t="s">
        <v>358</v>
      </c>
      <c r="E161" s="7" t="s">
        <v>592</v>
      </c>
      <c r="F161" s="37">
        <v>2</v>
      </c>
    </row>
    <row r="162" spans="2:6" x14ac:dyDescent="0.35">
      <c r="B162" s="19" t="s">
        <v>615</v>
      </c>
      <c r="C162" s="19" t="s">
        <v>843</v>
      </c>
      <c r="D162" s="7" t="s">
        <v>360</v>
      </c>
      <c r="E162" s="7" t="s">
        <v>593</v>
      </c>
      <c r="F162" s="37">
        <v>2</v>
      </c>
    </row>
    <row r="163" spans="2:6" x14ac:dyDescent="0.35">
      <c r="B163" s="19" t="s">
        <v>615</v>
      </c>
      <c r="C163" s="19" t="s">
        <v>843</v>
      </c>
      <c r="D163" s="7" t="s">
        <v>364</v>
      </c>
      <c r="E163" s="7" t="s">
        <v>557</v>
      </c>
      <c r="F163" s="37">
        <v>4</v>
      </c>
    </row>
    <row r="164" spans="2:6" x14ac:dyDescent="0.35">
      <c r="B164" s="19" t="s">
        <v>615</v>
      </c>
      <c r="C164" s="19" t="s">
        <v>843</v>
      </c>
      <c r="D164" s="7" t="s">
        <v>370</v>
      </c>
      <c r="E164" s="7" t="s">
        <v>594</v>
      </c>
      <c r="F164" s="37">
        <v>2</v>
      </c>
    </row>
    <row r="165" spans="2:6" x14ac:dyDescent="0.35">
      <c r="B165" s="19" t="s">
        <v>615</v>
      </c>
      <c r="C165" s="19" t="s">
        <v>843</v>
      </c>
      <c r="D165" s="7" t="s">
        <v>372</v>
      </c>
      <c r="E165" s="7" t="s">
        <v>558</v>
      </c>
      <c r="F165" s="37">
        <v>4</v>
      </c>
    </row>
    <row r="166" spans="2:6" x14ac:dyDescent="0.35">
      <c r="B166" s="19" t="s">
        <v>615</v>
      </c>
      <c r="C166" s="19" t="s">
        <v>843</v>
      </c>
      <c r="D166" s="7" t="s">
        <v>382</v>
      </c>
      <c r="E166" s="7" t="s">
        <v>595</v>
      </c>
      <c r="F166" s="37">
        <v>2</v>
      </c>
    </row>
    <row r="167" spans="2:6" x14ac:dyDescent="0.35">
      <c r="B167" s="19" t="s">
        <v>615</v>
      </c>
      <c r="C167" s="19" t="s">
        <v>843</v>
      </c>
      <c r="D167" s="7" t="s">
        <v>480</v>
      </c>
      <c r="E167" s="7" t="s">
        <v>561</v>
      </c>
      <c r="F167" s="37">
        <v>0.01</v>
      </c>
    </row>
    <row r="168" spans="2:6" x14ac:dyDescent="0.35">
      <c r="B168" s="19" t="s">
        <v>615</v>
      </c>
      <c r="C168" s="19" t="s">
        <v>843</v>
      </c>
      <c r="D168" s="7" t="s">
        <v>482</v>
      </c>
      <c r="E168" s="7" t="s">
        <v>562</v>
      </c>
      <c r="F168" s="37">
        <v>2E-3</v>
      </c>
    </row>
    <row r="169" spans="2:6" x14ac:dyDescent="0.35">
      <c r="B169" s="19" t="s">
        <v>615</v>
      </c>
      <c r="C169" s="19" t="s">
        <v>843</v>
      </c>
      <c r="D169" s="7" t="s">
        <v>484</v>
      </c>
      <c r="E169" s="7" t="s">
        <v>563</v>
      </c>
      <c r="F169" s="37">
        <v>4</v>
      </c>
    </row>
    <row r="170" spans="2:6" x14ac:dyDescent="0.35">
      <c r="B170" s="19" t="s">
        <v>623</v>
      </c>
      <c r="C170" s="19" t="s">
        <v>846</v>
      </c>
      <c r="D170" s="7" t="s">
        <v>9</v>
      </c>
      <c r="E170" s="7" t="s">
        <v>624</v>
      </c>
      <c r="F170" s="37">
        <v>4</v>
      </c>
    </row>
    <row r="171" spans="2:6" x14ac:dyDescent="0.35">
      <c r="B171" s="19" t="s">
        <v>623</v>
      </c>
      <c r="C171" s="19" t="s">
        <v>846</v>
      </c>
      <c r="D171" s="6" t="s">
        <v>17</v>
      </c>
      <c r="E171" s="7" t="s">
        <v>625</v>
      </c>
      <c r="F171" s="37">
        <v>1</v>
      </c>
    </row>
    <row r="172" spans="2:6" x14ac:dyDescent="0.35">
      <c r="B172" s="19" t="s">
        <v>623</v>
      </c>
      <c r="C172" s="19" t="s">
        <v>846</v>
      </c>
      <c r="D172" s="7" t="s">
        <v>144</v>
      </c>
      <c r="E172" s="7" t="s">
        <v>626</v>
      </c>
      <c r="F172" s="37">
        <v>2</v>
      </c>
    </row>
    <row r="173" spans="2:6" x14ac:dyDescent="0.35">
      <c r="B173" s="19" t="s">
        <v>623</v>
      </c>
      <c r="C173" s="19" t="s">
        <v>846</v>
      </c>
      <c r="D173" s="6" t="s">
        <v>188</v>
      </c>
      <c r="E173" s="7" t="s">
        <v>627</v>
      </c>
      <c r="F173" s="37">
        <v>2</v>
      </c>
    </row>
    <row r="174" spans="2:6" x14ac:dyDescent="0.35">
      <c r="B174" s="19" t="s">
        <v>623</v>
      </c>
      <c r="C174" s="19" t="s">
        <v>846</v>
      </c>
      <c r="D174" s="6" t="s">
        <v>190</v>
      </c>
      <c r="E174" s="7" t="s">
        <v>628</v>
      </c>
      <c r="F174" s="37">
        <v>2</v>
      </c>
    </row>
    <row r="175" spans="2:6" x14ac:dyDescent="0.35">
      <c r="B175" s="19" t="s">
        <v>623</v>
      </c>
      <c r="C175" s="19" t="s">
        <v>846</v>
      </c>
      <c r="D175" s="7" t="s">
        <v>232</v>
      </c>
      <c r="E175" s="7" t="s">
        <v>629</v>
      </c>
      <c r="F175" s="37">
        <v>2</v>
      </c>
    </row>
    <row r="176" spans="2:6" x14ac:dyDescent="0.35">
      <c r="B176" s="19" t="s">
        <v>623</v>
      </c>
      <c r="C176" s="19" t="s">
        <v>846</v>
      </c>
      <c r="D176" s="7" t="s">
        <v>234</v>
      </c>
      <c r="E176" s="7" t="s">
        <v>630</v>
      </c>
      <c r="F176" s="37">
        <v>2</v>
      </c>
    </row>
    <row r="177" spans="2:6" x14ac:dyDescent="0.35">
      <c r="B177" s="19" t="s">
        <v>623</v>
      </c>
      <c r="C177" s="19" t="s">
        <v>846</v>
      </c>
      <c r="D177" s="7" t="s">
        <v>280</v>
      </c>
      <c r="E177" s="7" t="s">
        <v>631</v>
      </c>
      <c r="F177" s="37">
        <v>4</v>
      </c>
    </row>
    <row r="178" spans="2:6" x14ac:dyDescent="0.35">
      <c r="B178" s="19" t="s">
        <v>623</v>
      </c>
      <c r="C178" s="19" t="s">
        <v>846</v>
      </c>
      <c r="D178" s="7" t="s">
        <v>290</v>
      </c>
      <c r="E178" s="7" t="s">
        <v>632</v>
      </c>
      <c r="F178" s="37">
        <v>4</v>
      </c>
    </row>
    <row r="179" spans="2:6" x14ac:dyDescent="0.35">
      <c r="B179" s="19" t="s">
        <v>623</v>
      </c>
      <c r="C179" s="19" t="s">
        <v>846</v>
      </c>
      <c r="D179" s="7" t="s">
        <v>312</v>
      </c>
      <c r="E179" s="7" t="s">
        <v>633</v>
      </c>
      <c r="F179" s="37">
        <v>4</v>
      </c>
    </row>
    <row r="180" spans="2:6" x14ac:dyDescent="0.35">
      <c r="B180" s="19" t="s">
        <v>623</v>
      </c>
      <c r="C180" s="19" t="s">
        <v>846</v>
      </c>
      <c r="D180" s="7" t="s">
        <v>336</v>
      </c>
      <c r="E180" s="7" t="s">
        <v>634</v>
      </c>
      <c r="F180" s="37">
        <v>4</v>
      </c>
    </row>
    <row r="181" spans="2:6" x14ac:dyDescent="0.35">
      <c r="B181" s="19" t="s">
        <v>623</v>
      </c>
      <c r="C181" s="19" t="s">
        <v>846</v>
      </c>
      <c r="D181" s="7" t="s">
        <v>342</v>
      </c>
      <c r="E181" s="7" t="s">
        <v>635</v>
      </c>
      <c r="F181" s="37">
        <v>4</v>
      </c>
    </row>
    <row r="182" spans="2:6" x14ac:dyDescent="0.35">
      <c r="B182" s="19" t="s">
        <v>623</v>
      </c>
      <c r="C182" s="19" t="s">
        <v>846</v>
      </c>
      <c r="D182" s="7" t="s">
        <v>348</v>
      </c>
      <c r="E182" s="7" t="s">
        <v>591</v>
      </c>
      <c r="F182" s="37">
        <v>2</v>
      </c>
    </row>
    <row r="183" spans="2:6" x14ac:dyDescent="0.35">
      <c r="B183" s="19" t="s">
        <v>623</v>
      </c>
      <c r="C183" s="19" t="s">
        <v>846</v>
      </c>
      <c r="D183" s="7" t="s">
        <v>358</v>
      </c>
      <c r="E183" s="7" t="s">
        <v>592</v>
      </c>
      <c r="F183" s="37">
        <v>4</v>
      </c>
    </row>
    <row r="184" spans="2:6" x14ac:dyDescent="0.35">
      <c r="B184" s="19" t="s">
        <v>623</v>
      </c>
      <c r="C184" s="19" t="s">
        <v>846</v>
      </c>
      <c r="D184" s="7" t="s">
        <v>360</v>
      </c>
      <c r="E184" s="7" t="s">
        <v>593</v>
      </c>
      <c r="F184" s="37">
        <v>2</v>
      </c>
    </row>
    <row r="185" spans="2:6" x14ac:dyDescent="0.35">
      <c r="B185" s="19" t="s">
        <v>623</v>
      </c>
      <c r="C185" s="19" t="s">
        <v>846</v>
      </c>
      <c r="D185" s="7" t="s">
        <v>366</v>
      </c>
      <c r="E185" s="7" t="s">
        <v>636</v>
      </c>
      <c r="F185" s="37">
        <v>4</v>
      </c>
    </row>
    <row r="186" spans="2:6" x14ac:dyDescent="0.35">
      <c r="B186" s="19" t="s">
        <v>623</v>
      </c>
      <c r="C186" s="19" t="s">
        <v>846</v>
      </c>
      <c r="D186" s="7" t="s">
        <v>370</v>
      </c>
      <c r="E186" s="7" t="s">
        <v>594</v>
      </c>
      <c r="F186" s="37">
        <v>2</v>
      </c>
    </row>
    <row r="187" spans="2:6" x14ac:dyDescent="0.35">
      <c r="B187" s="19" t="s">
        <v>623</v>
      </c>
      <c r="C187" s="19" t="s">
        <v>846</v>
      </c>
      <c r="D187" s="7" t="s">
        <v>374</v>
      </c>
      <c r="E187" s="7" t="s">
        <v>637</v>
      </c>
      <c r="F187" s="37">
        <v>4</v>
      </c>
    </row>
    <row r="188" spans="2:6" x14ac:dyDescent="0.35">
      <c r="B188" s="19" t="s">
        <v>623</v>
      </c>
      <c r="C188" s="19" t="s">
        <v>846</v>
      </c>
      <c r="D188" s="7" t="s">
        <v>382</v>
      </c>
      <c r="E188" s="7" t="s">
        <v>595</v>
      </c>
      <c r="F188" s="37">
        <v>4</v>
      </c>
    </row>
    <row r="189" spans="2:6" x14ac:dyDescent="0.35">
      <c r="B189" s="19" t="s">
        <v>623</v>
      </c>
      <c r="C189" s="19" t="s">
        <v>846</v>
      </c>
      <c r="D189" s="7" t="s">
        <v>480</v>
      </c>
      <c r="E189" s="7" t="s">
        <v>561</v>
      </c>
      <c r="F189" s="37">
        <v>0.01</v>
      </c>
    </row>
    <row r="190" spans="2:6" x14ac:dyDescent="0.35">
      <c r="B190" s="19" t="s">
        <v>623</v>
      </c>
      <c r="C190" s="19" t="s">
        <v>846</v>
      </c>
      <c r="D190" s="7" t="s">
        <v>482</v>
      </c>
      <c r="E190" s="7" t="s">
        <v>562</v>
      </c>
      <c r="F190" s="37">
        <v>2E-3</v>
      </c>
    </row>
    <row r="191" spans="2:6" x14ac:dyDescent="0.35">
      <c r="B191" s="19" t="s">
        <v>623</v>
      </c>
      <c r="C191" s="19" t="s">
        <v>846</v>
      </c>
      <c r="D191" s="7" t="s">
        <v>486</v>
      </c>
      <c r="E191" s="7" t="s">
        <v>638</v>
      </c>
      <c r="F191" s="37">
        <v>4</v>
      </c>
    </row>
    <row r="192" spans="2:6" x14ac:dyDescent="0.35">
      <c r="B192" s="19" t="s">
        <v>639</v>
      </c>
      <c r="C192" s="19" t="s">
        <v>848</v>
      </c>
      <c r="D192" s="7" t="s">
        <v>9</v>
      </c>
      <c r="E192" s="7" t="s">
        <v>624</v>
      </c>
      <c r="F192" s="37">
        <v>4</v>
      </c>
    </row>
    <row r="193" spans="2:6" x14ac:dyDescent="0.35">
      <c r="B193" s="19" t="s">
        <v>639</v>
      </c>
      <c r="C193" s="19" t="s">
        <v>848</v>
      </c>
      <c r="D193" s="6" t="s">
        <v>21</v>
      </c>
      <c r="E193" s="7" t="s">
        <v>640</v>
      </c>
      <c r="F193" s="37">
        <v>1</v>
      </c>
    </row>
    <row r="194" spans="2:6" x14ac:dyDescent="0.35">
      <c r="B194" s="19" t="s">
        <v>639</v>
      </c>
      <c r="C194" s="19" t="s">
        <v>848</v>
      </c>
      <c r="D194" s="7" t="s">
        <v>146</v>
      </c>
      <c r="E194" s="7" t="s">
        <v>641</v>
      </c>
      <c r="F194" s="37">
        <v>2</v>
      </c>
    </row>
    <row r="195" spans="2:6" x14ac:dyDescent="0.35">
      <c r="B195" s="19" t="s">
        <v>639</v>
      </c>
      <c r="C195" s="19" t="s">
        <v>848</v>
      </c>
      <c r="D195" s="6" t="s">
        <v>196</v>
      </c>
      <c r="E195" s="7" t="s">
        <v>642</v>
      </c>
      <c r="F195" s="37">
        <v>2</v>
      </c>
    </row>
    <row r="196" spans="2:6" x14ac:dyDescent="0.35">
      <c r="B196" s="19" t="s">
        <v>639</v>
      </c>
      <c r="C196" s="19" t="s">
        <v>848</v>
      </c>
      <c r="D196" s="6" t="s">
        <v>198</v>
      </c>
      <c r="E196" s="7" t="s">
        <v>643</v>
      </c>
      <c r="F196" s="37">
        <v>2</v>
      </c>
    </row>
    <row r="197" spans="2:6" x14ac:dyDescent="0.35">
      <c r="B197" s="19" t="s">
        <v>639</v>
      </c>
      <c r="C197" s="19" t="s">
        <v>848</v>
      </c>
      <c r="D197" s="7" t="s">
        <v>240</v>
      </c>
      <c r="E197" s="7" t="s">
        <v>644</v>
      </c>
      <c r="F197" s="37">
        <v>2</v>
      </c>
    </row>
    <row r="198" spans="2:6" x14ac:dyDescent="0.35">
      <c r="B198" s="19" t="s">
        <v>639</v>
      </c>
      <c r="C198" s="19" t="s">
        <v>848</v>
      </c>
      <c r="D198" s="7" t="s">
        <v>242</v>
      </c>
      <c r="E198" s="7" t="s">
        <v>645</v>
      </c>
      <c r="F198" s="37">
        <v>2</v>
      </c>
    </row>
    <row r="199" spans="2:6" x14ac:dyDescent="0.35">
      <c r="B199" s="19" t="s">
        <v>639</v>
      </c>
      <c r="C199" s="19" t="s">
        <v>848</v>
      </c>
      <c r="D199" s="7" t="s">
        <v>280</v>
      </c>
      <c r="E199" s="7" t="s">
        <v>631</v>
      </c>
      <c r="F199" s="37">
        <v>4</v>
      </c>
    </row>
    <row r="200" spans="2:6" x14ac:dyDescent="0.35">
      <c r="B200" s="19" t="s">
        <v>639</v>
      </c>
      <c r="C200" s="19" t="s">
        <v>848</v>
      </c>
      <c r="D200" s="7" t="s">
        <v>290</v>
      </c>
      <c r="E200" s="7" t="s">
        <v>632</v>
      </c>
      <c r="F200" s="37">
        <v>4</v>
      </c>
    </row>
    <row r="201" spans="2:6" x14ac:dyDescent="0.35">
      <c r="B201" s="19" t="s">
        <v>639</v>
      </c>
      <c r="C201" s="19" t="s">
        <v>848</v>
      </c>
      <c r="D201" s="7" t="s">
        <v>314</v>
      </c>
      <c r="E201" s="7" t="s">
        <v>646</v>
      </c>
      <c r="F201" s="37">
        <v>4</v>
      </c>
    </row>
    <row r="202" spans="2:6" x14ac:dyDescent="0.35">
      <c r="B202" s="19" t="s">
        <v>639</v>
      </c>
      <c r="C202" s="19" t="s">
        <v>848</v>
      </c>
      <c r="D202" s="7" t="s">
        <v>336</v>
      </c>
      <c r="E202" s="7" t="s">
        <v>634</v>
      </c>
      <c r="F202" s="37">
        <v>4</v>
      </c>
    </row>
    <row r="203" spans="2:6" x14ac:dyDescent="0.35">
      <c r="B203" s="19" t="s">
        <v>639</v>
      </c>
      <c r="C203" s="19" t="s">
        <v>848</v>
      </c>
      <c r="D203" s="7" t="s">
        <v>342</v>
      </c>
      <c r="E203" s="7" t="s">
        <v>635</v>
      </c>
      <c r="F203" s="37">
        <v>4</v>
      </c>
    </row>
    <row r="204" spans="2:6" x14ac:dyDescent="0.35">
      <c r="B204" s="19" t="s">
        <v>639</v>
      </c>
      <c r="C204" s="19" t="s">
        <v>848</v>
      </c>
      <c r="D204" s="7" t="s">
        <v>348</v>
      </c>
      <c r="E204" s="7" t="s">
        <v>591</v>
      </c>
      <c r="F204" s="37">
        <v>2</v>
      </c>
    </row>
    <row r="205" spans="2:6" x14ac:dyDescent="0.35">
      <c r="B205" s="19" t="s">
        <v>639</v>
      </c>
      <c r="C205" s="19" t="s">
        <v>848</v>
      </c>
      <c r="D205" s="7" t="s">
        <v>358</v>
      </c>
      <c r="E205" s="7" t="s">
        <v>592</v>
      </c>
      <c r="F205" s="37">
        <v>4</v>
      </c>
    </row>
    <row r="206" spans="2:6" x14ac:dyDescent="0.35">
      <c r="B206" s="19" t="s">
        <v>639</v>
      </c>
      <c r="C206" s="19" t="s">
        <v>848</v>
      </c>
      <c r="D206" s="7" t="s">
        <v>360</v>
      </c>
      <c r="E206" s="7" t="s">
        <v>593</v>
      </c>
      <c r="F206" s="37">
        <v>2</v>
      </c>
    </row>
    <row r="207" spans="2:6" x14ac:dyDescent="0.35">
      <c r="B207" s="19" t="s">
        <v>639</v>
      </c>
      <c r="C207" s="19" t="s">
        <v>848</v>
      </c>
      <c r="D207" s="7" t="s">
        <v>366</v>
      </c>
      <c r="E207" s="7" t="s">
        <v>636</v>
      </c>
      <c r="F207" s="37">
        <v>4</v>
      </c>
    </row>
    <row r="208" spans="2:6" x14ac:dyDescent="0.35">
      <c r="B208" s="19" t="s">
        <v>639</v>
      </c>
      <c r="C208" s="19" t="s">
        <v>848</v>
      </c>
      <c r="D208" s="7" t="s">
        <v>370</v>
      </c>
      <c r="E208" s="7" t="s">
        <v>594</v>
      </c>
      <c r="F208" s="37">
        <v>2</v>
      </c>
    </row>
    <row r="209" spans="2:6" x14ac:dyDescent="0.35">
      <c r="B209" s="19" t="s">
        <v>639</v>
      </c>
      <c r="C209" s="19" t="s">
        <v>848</v>
      </c>
      <c r="D209" s="7" t="s">
        <v>374</v>
      </c>
      <c r="E209" s="7" t="s">
        <v>637</v>
      </c>
      <c r="F209" s="37">
        <v>4</v>
      </c>
    </row>
    <row r="210" spans="2:6" x14ac:dyDescent="0.35">
      <c r="B210" s="19" t="s">
        <v>639</v>
      </c>
      <c r="C210" s="19" t="s">
        <v>848</v>
      </c>
      <c r="D210" s="7" t="s">
        <v>382</v>
      </c>
      <c r="E210" s="7" t="s">
        <v>595</v>
      </c>
      <c r="F210" s="37">
        <v>4</v>
      </c>
    </row>
    <row r="211" spans="2:6" x14ac:dyDescent="0.35">
      <c r="B211" s="19" t="s">
        <v>639</v>
      </c>
      <c r="C211" s="19" t="s">
        <v>848</v>
      </c>
      <c r="D211" s="7" t="s">
        <v>480</v>
      </c>
      <c r="E211" s="7" t="s">
        <v>561</v>
      </c>
      <c r="F211" s="37">
        <v>0.01</v>
      </c>
    </row>
    <row r="212" spans="2:6" x14ac:dyDescent="0.35">
      <c r="B212" s="19" t="s">
        <v>639</v>
      </c>
      <c r="C212" s="19" t="s">
        <v>848</v>
      </c>
      <c r="D212" s="7" t="s">
        <v>482</v>
      </c>
      <c r="E212" s="7" t="s">
        <v>562</v>
      </c>
      <c r="F212" s="37">
        <v>2E-3</v>
      </c>
    </row>
    <row r="213" spans="2:6" x14ac:dyDescent="0.35">
      <c r="B213" s="19" t="s">
        <v>639</v>
      </c>
      <c r="C213" s="19" t="s">
        <v>848</v>
      </c>
      <c r="D213" s="7" t="s">
        <v>486</v>
      </c>
      <c r="E213" s="7" t="s">
        <v>638</v>
      </c>
      <c r="F213" s="37">
        <v>4</v>
      </c>
    </row>
    <row r="214" spans="2:6" x14ac:dyDescent="0.35">
      <c r="B214" s="19" t="s">
        <v>647</v>
      </c>
      <c r="C214" s="19" t="s">
        <v>850</v>
      </c>
      <c r="D214" s="7" t="s">
        <v>9</v>
      </c>
      <c r="E214" s="7" t="s">
        <v>624</v>
      </c>
      <c r="F214" s="37">
        <v>4</v>
      </c>
    </row>
    <row r="215" spans="2:6" x14ac:dyDescent="0.35">
      <c r="B215" s="19" t="s">
        <v>647</v>
      </c>
      <c r="C215" s="19" t="s">
        <v>850</v>
      </c>
      <c r="D215" s="6" t="s">
        <v>23</v>
      </c>
      <c r="E215" s="7" t="s">
        <v>648</v>
      </c>
      <c r="F215" s="37">
        <v>1</v>
      </c>
    </row>
    <row r="216" spans="2:6" x14ac:dyDescent="0.35">
      <c r="B216" s="19" t="s">
        <v>647</v>
      </c>
      <c r="C216" s="19" t="s">
        <v>850</v>
      </c>
      <c r="D216" s="7" t="s">
        <v>148</v>
      </c>
      <c r="E216" s="7" t="s">
        <v>649</v>
      </c>
      <c r="F216" s="37">
        <v>2</v>
      </c>
    </row>
    <row r="217" spans="2:6" x14ac:dyDescent="0.35">
      <c r="B217" s="19" t="s">
        <v>647</v>
      </c>
      <c r="C217" s="19" t="s">
        <v>850</v>
      </c>
      <c r="D217" s="6" t="s">
        <v>200</v>
      </c>
      <c r="E217" s="7" t="s">
        <v>650</v>
      </c>
      <c r="F217" s="37">
        <v>2</v>
      </c>
    </row>
    <row r="218" spans="2:6" x14ac:dyDescent="0.35">
      <c r="B218" s="19" t="s">
        <v>647</v>
      </c>
      <c r="C218" s="19" t="s">
        <v>850</v>
      </c>
      <c r="D218" s="6" t="s">
        <v>202</v>
      </c>
      <c r="E218" s="7" t="s">
        <v>651</v>
      </c>
      <c r="F218" s="37">
        <v>2</v>
      </c>
    </row>
    <row r="219" spans="2:6" x14ac:dyDescent="0.35">
      <c r="B219" s="19" t="s">
        <v>647</v>
      </c>
      <c r="C219" s="19" t="s">
        <v>850</v>
      </c>
      <c r="D219" s="7" t="s">
        <v>244</v>
      </c>
      <c r="E219" s="7" t="s">
        <v>652</v>
      </c>
      <c r="F219" s="37">
        <v>2</v>
      </c>
    </row>
    <row r="220" spans="2:6" x14ac:dyDescent="0.35">
      <c r="B220" s="19" t="s">
        <v>647</v>
      </c>
      <c r="C220" s="19" t="s">
        <v>850</v>
      </c>
      <c r="D220" s="7" t="s">
        <v>246</v>
      </c>
      <c r="E220" s="7" t="s">
        <v>653</v>
      </c>
      <c r="F220" s="37">
        <v>2</v>
      </c>
    </row>
    <row r="221" spans="2:6" x14ac:dyDescent="0.35">
      <c r="B221" s="19" t="s">
        <v>647</v>
      </c>
      <c r="C221" s="19" t="s">
        <v>850</v>
      </c>
      <c r="D221" s="7" t="s">
        <v>280</v>
      </c>
      <c r="E221" s="7" t="s">
        <v>631</v>
      </c>
      <c r="F221" s="37">
        <v>4</v>
      </c>
    </row>
    <row r="222" spans="2:6" x14ac:dyDescent="0.35">
      <c r="B222" s="19" t="s">
        <v>647</v>
      </c>
      <c r="C222" s="19" t="s">
        <v>850</v>
      </c>
      <c r="D222" s="7" t="s">
        <v>290</v>
      </c>
      <c r="E222" s="7" t="s">
        <v>632</v>
      </c>
      <c r="F222" s="37">
        <v>4</v>
      </c>
    </row>
    <row r="223" spans="2:6" x14ac:dyDescent="0.35">
      <c r="B223" s="19" t="s">
        <v>647</v>
      </c>
      <c r="C223" s="19" t="s">
        <v>850</v>
      </c>
      <c r="D223" s="7" t="s">
        <v>316</v>
      </c>
      <c r="E223" s="7" t="s">
        <v>654</v>
      </c>
      <c r="F223" s="37">
        <v>4</v>
      </c>
    </row>
    <row r="224" spans="2:6" x14ac:dyDescent="0.35">
      <c r="B224" s="19" t="s">
        <v>647</v>
      </c>
      <c r="C224" s="19" t="s">
        <v>850</v>
      </c>
      <c r="D224" s="7" t="s">
        <v>336</v>
      </c>
      <c r="E224" s="7" t="s">
        <v>634</v>
      </c>
      <c r="F224" s="37">
        <v>4</v>
      </c>
    </row>
    <row r="225" spans="2:6" x14ac:dyDescent="0.35">
      <c r="B225" s="19" t="s">
        <v>647</v>
      </c>
      <c r="C225" s="19" t="s">
        <v>850</v>
      </c>
      <c r="D225" s="7" t="s">
        <v>342</v>
      </c>
      <c r="E225" s="7" t="s">
        <v>635</v>
      </c>
      <c r="F225" s="37">
        <v>4</v>
      </c>
    </row>
    <row r="226" spans="2:6" x14ac:dyDescent="0.35">
      <c r="B226" s="19" t="s">
        <v>647</v>
      </c>
      <c r="C226" s="19" t="s">
        <v>850</v>
      </c>
      <c r="D226" s="7" t="s">
        <v>348</v>
      </c>
      <c r="E226" s="7" t="s">
        <v>591</v>
      </c>
      <c r="F226" s="37">
        <v>2</v>
      </c>
    </row>
    <row r="227" spans="2:6" x14ac:dyDescent="0.35">
      <c r="B227" s="19" t="s">
        <v>647</v>
      </c>
      <c r="C227" s="19" t="s">
        <v>850</v>
      </c>
      <c r="D227" s="7" t="s">
        <v>358</v>
      </c>
      <c r="E227" s="7" t="s">
        <v>592</v>
      </c>
      <c r="F227" s="37">
        <v>4</v>
      </c>
    </row>
    <row r="228" spans="2:6" x14ac:dyDescent="0.35">
      <c r="B228" s="19" t="s">
        <v>647</v>
      </c>
      <c r="C228" s="19" t="s">
        <v>850</v>
      </c>
      <c r="D228" s="7" t="s">
        <v>360</v>
      </c>
      <c r="E228" s="7" t="s">
        <v>593</v>
      </c>
      <c r="F228" s="37">
        <v>2</v>
      </c>
    </row>
    <row r="229" spans="2:6" x14ac:dyDescent="0.35">
      <c r="B229" s="19" t="s">
        <v>647</v>
      </c>
      <c r="C229" s="19" t="s">
        <v>850</v>
      </c>
      <c r="D229" s="7" t="s">
        <v>366</v>
      </c>
      <c r="E229" s="7" t="s">
        <v>636</v>
      </c>
      <c r="F229" s="37">
        <v>4</v>
      </c>
    </row>
    <row r="230" spans="2:6" x14ac:dyDescent="0.35">
      <c r="B230" s="19" t="s">
        <v>647</v>
      </c>
      <c r="C230" s="19" t="s">
        <v>850</v>
      </c>
      <c r="D230" s="7" t="s">
        <v>370</v>
      </c>
      <c r="E230" s="7" t="s">
        <v>594</v>
      </c>
      <c r="F230" s="37">
        <v>2</v>
      </c>
    </row>
    <row r="231" spans="2:6" x14ac:dyDescent="0.35">
      <c r="B231" s="19" t="s">
        <v>647</v>
      </c>
      <c r="C231" s="19" t="s">
        <v>850</v>
      </c>
      <c r="D231" s="7" t="s">
        <v>374</v>
      </c>
      <c r="E231" s="7" t="s">
        <v>637</v>
      </c>
      <c r="F231" s="37">
        <v>4</v>
      </c>
    </row>
    <row r="232" spans="2:6" x14ac:dyDescent="0.35">
      <c r="B232" s="19" t="s">
        <v>647</v>
      </c>
      <c r="C232" s="19" t="s">
        <v>850</v>
      </c>
      <c r="D232" s="7" t="s">
        <v>382</v>
      </c>
      <c r="E232" s="7" t="s">
        <v>595</v>
      </c>
      <c r="F232" s="37">
        <v>4</v>
      </c>
    </row>
    <row r="233" spans="2:6" x14ac:dyDescent="0.35">
      <c r="B233" s="19" t="s">
        <v>647</v>
      </c>
      <c r="C233" s="19" t="s">
        <v>850</v>
      </c>
      <c r="D233" s="7" t="s">
        <v>480</v>
      </c>
      <c r="E233" s="7" t="s">
        <v>561</v>
      </c>
      <c r="F233" s="37">
        <v>0.01</v>
      </c>
    </row>
    <row r="234" spans="2:6" x14ac:dyDescent="0.35">
      <c r="B234" s="19" t="s">
        <v>647</v>
      </c>
      <c r="C234" s="19" t="s">
        <v>850</v>
      </c>
      <c r="D234" s="7" t="s">
        <v>482</v>
      </c>
      <c r="E234" s="7" t="s">
        <v>562</v>
      </c>
      <c r="F234" s="37">
        <v>2E-3</v>
      </c>
    </row>
    <row r="235" spans="2:6" x14ac:dyDescent="0.35">
      <c r="B235" s="19" t="s">
        <v>647</v>
      </c>
      <c r="C235" s="19" t="s">
        <v>850</v>
      </c>
      <c r="D235" s="7" t="s">
        <v>486</v>
      </c>
      <c r="E235" s="7" t="s">
        <v>638</v>
      </c>
      <c r="F235" s="37">
        <v>4</v>
      </c>
    </row>
    <row r="236" spans="2:6" x14ac:dyDescent="0.35">
      <c r="B236" s="19" t="s">
        <v>655</v>
      </c>
      <c r="C236" s="19" t="s">
        <v>852</v>
      </c>
      <c r="D236" s="7" t="s">
        <v>9</v>
      </c>
      <c r="E236" s="7" t="s">
        <v>624</v>
      </c>
      <c r="F236" s="37">
        <v>4</v>
      </c>
    </row>
    <row r="237" spans="2:6" x14ac:dyDescent="0.35">
      <c r="B237" s="19" t="s">
        <v>655</v>
      </c>
      <c r="C237" s="19" t="s">
        <v>852</v>
      </c>
      <c r="D237" s="6" t="s">
        <v>25</v>
      </c>
      <c r="E237" s="7" t="s">
        <v>656</v>
      </c>
      <c r="F237" s="37">
        <v>1</v>
      </c>
    </row>
    <row r="238" spans="2:6" x14ac:dyDescent="0.35">
      <c r="B238" s="19" t="s">
        <v>655</v>
      </c>
      <c r="C238" s="19" t="s">
        <v>852</v>
      </c>
      <c r="D238" s="7" t="s">
        <v>150</v>
      </c>
      <c r="E238" s="7" t="s">
        <v>657</v>
      </c>
      <c r="F238" s="37">
        <v>2</v>
      </c>
    </row>
    <row r="239" spans="2:6" x14ac:dyDescent="0.35">
      <c r="B239" s="19" t="s">
        <v>655</v>
      </c>
      <c r="C239" s="19" t="s">
        <v>852</v>
      </c>
      <c r="D239" s="6" t="s">
        <v>204</v>
      </c>
      <c r="E239" s="7" t="s">
        <v>658</v>
      </c>
      <c r="F239" s="37">
        <v>2</v>
      </c>
    </row>
    <row r="240" spans="2:6" x14ac:dyDescent="0.35">
      <c r="B240" s="19" t="s">
        <v>655</v>
      </c>
      <c r="C240" s="19" t="s">
        <v>852</v>
      </c>
      <c r="D240" s="6" t="s">
        <v>206</v>
      </c>
      <c r="E240" s="7" t="s">
        <v>659</v>
      </c>
      <c r="F240" s="37">
        <v>2</v>
      </c>
    </row>
    <row r="241" spans="2:6" x14ac:dyDescent="0.35">
      <c r="B241" s="19" t="s">
        <v>655</v>
      </c>
      <c r="C241" s="19" t="s">
        <v>852</v>
      </c>
      <c r="D241" s="7" t="s">
        <v>248</v>
      </c>
      <c r="E241" s="7" t="s">
        <v>660</v>
      </c>
      <c r="F241" s="37">
        <v>2</v>
      </c>
    </row>
    <row r="242" spans="2:6" x14ac:dyDescent="0.35">
      <c r="B242" s="19" t="s">
        <v>655</v>
      </c>
      <c r="C242" s="19" t="s">
        <v>852</v>
      </c>
      <c r="D242" s="7" t="s">
        <v>250</v>
      </c>
      <c r="E242" s="7" t="s">
        <v>661</v>
      </c>
      <c r="F242" s="37">
        <v>2</v>
      </c>
    </row>
    <row r="243" spans="2:6" x14ac:dyDescent="0.35">
      <c r="B243" s="19" t="s">
        <v>655</v>
      </c>
      <c r="C243" s="19" t="s">
        <v>852</v>
      </c>
      <c r="D243" s="7" t="s">
        <v>280</v>
      </c>
      <c r="E243" s="7" t="s">
        <v>631</v>
      </c>
      <c r="F243" s="37">
        <v>4</v>
      </c>
    </row>
    <row r="244" spans="2:6" x14ac:dyDescent="0.35">
      <c r="B244" s="19" t="s">
        <v>655</v>
      </c>
      <c r="C244" s="19" t="s">
        <v>852</v>
      </c>
      <c r="D244" s="7" t="s">
        <v>290</v>
      </c>
      <c r="E244" s="7" t="s">
        <v>632</v>
      </c>
      <c r="F244" s="37">
        <v>4</v>
      </c>
    </row>
    <row r="245" spans="2:6" x14ac:dyDescent="0.35">
      <c r="B245" s="19" t="s">
        <v>655</v>
      </c>
      <c r="C245" s="19" t="s">
        <v>852</v>
      </c>
      <c r="D245" s="7" t="s">
        <v>318</v>
      </c>
      <c r="E245" s="7" t="s">
        <v>662</v>
      </c>
      <c r="F245" s="37">
        <v>4</v>
      </c>
    </row>
    <row r="246" spans="2:6" x14ac:dyDescent="0.35">
      <c r="B246" s="19" t="s">
        <v>655</v>
      </c>
      <c r="C246" s="19" t="s">
        <v>852</v>
      </c>
      <c r="D246" s="7" t="s">
        <v>342</v>
      </c>
      <c r="E246" s="7" t="s">
        <v>635</v>
      </c>
      <c r="F246" s="37">
        <v>4</v>
      </c>
    </row>
    <row r="247" spans="2:6" x14ac:dyDescent="0.35">
      <c r="B247" s="19" t="s">
        <v>655</v>
      </c>
      <c r="C247" s="19" t="s">
        <v>852</v>
      </c>
      <c r="D247" s="7" t="s">
        <v>344</v>
      </c>
      <c r="E247" s="7" t="s">
        <v>663</v>
      </c>
      <c r="F247" s="37">
        <v>4</v>
      </c>
    </row>
    <row r="248" spans="2:6" x14ac:dyDescent="0.35">
      <c r="B248" s="19" t="s">
        <v>655</v>
      </c>
      <c r="C248" s="19" t="s">
        <v>852</v>
      </c>
      <c r="D248" s="7" t="s">
        <v>348</v>
      </c>
      <c r="E248" s="7" t="s">
        <v>591</v>
      </c>
      <c r="F248" s="37">
        <v>2</v>
      </c>
    </row>
    <row r="249" spans="2:6" x14ac:dyDescent="0.35">
      <c r="B249" s="19" t="s">
        <v>655</v>
      </c>
      <c r="C249" s="19" t="s">
        <v>852</v>
      </c>
      <c r="D249" s="7" t="s">
        <v>358</v>
      </c>
      <c r="E249" s="7" t="s">
        <v>592</v>
      </c>
      <c r="F249" s="37">
        <v>4</v>
      </c>
    </row>
    <row r="250" spans="2:6" x14ac:dyDescent="0.35">
      <c r="B250" s="19" t="s">
        <v>655</v>
      </c>
      <c r="C250" s="19" t="s">
        <v>852</v>
      </c>
      <c r="D250" s="7" t="s">
        <v>360</v>
      </c>
      <c r="E250" s="7" t="s">
        <v>593</v>
      </c>
      <c r="F250" s="37">
        <v>2</v>
      </c>
    </row>
    <row r="251" spans="2:6" x14ac:dyDescent="0.35">
      <c r="B251" s="19" t="s">
        <v>655</v>
      </c>
      <c r="C251" s="19" t="s">
        <v>852</v>
      </c>
      <c r="D251" s="7" t="s">
        <v>368</v>
      </c>
      <c r="E251" s="7" t="s">
        <v>664</v>
      </c>
      <c r="F251" s="37">
        <v>4</v>
      </c>
    </row>
    <row r="252" spans="2:6" x14ac:dyDescent="0.35">
      <c r="B252" s="19" t="s">
        <v>655</v>
      </c>
      <c r="C252" s="19" t="s">
        <v>852</v>
      </c>
      <c r="D252" s="7" t="s">
        <v>370</v>
      </c>
      <c r="E252" s="7" t="s">
        <v>594</v>
      </c>
      <c r="F252" s="37">
        <v>2</v>
      </c>
    </row>
    <row r="253" spans="2:6" x14ac:dyDescent="0.35">
      <c r="B253" s="19" t="s">
        <v>655</v>
      </c>
      <c r="C253" s="19" t="s">
        <v>852</v>
      </c>
      <c r="D253" s="7" t="s">
        <v>376</v>
      </c>
      <c r="E253" s="7" t="s">
        <v>665</v>
      </c>
      <c r="F253" s="37">
        <v>4</v>
      </c>
    </row>
    <row r="254" spans="2:6" x14ac:dyDescent="0.35">
      <c r="B254" s="19" t="s">
        <v>655</v>
      </c>
      <c r="C254" s="19" t="s">
        <v>852</v>
      </c>
      <c r="D254" s="7" t="s">
        <v>382</v>
      </c>
      <c r="E254" s="7" t="s">
        <v>595</v>
      </c>
      <c r="F254" s="37">
        <v>4</v>
      </c>
    </row>
    <row r="255" spans="2:6" x14ac:dyDescent="0.35">
      <c r="B255" s="19" t="s">
        <v>655</v>
      </c>
      <c r="C255" s="19" t="s">
        <v>852</v>
      </c>
      <c r="D255" s="7" t="s">
        <v>480</v>
      </c>
      <c r="E255" s="7" t="s">
        <v>561</v>
      </c>
      <c r="F255" s="37">
        <v>0.01</v>
      </c>
    </row>
    <row r="256" spans="2:6" x14ac:dyDescent="0.35">
      <c r="B256" s="19" t="s">
        <v>655</v>
      </c>
      <c r="C256" s="19" t="s">
        <v>852</v>
      </c>
      <c r="D256" s="7" t="s">
        <v>482</v>
      </c>
      <c r="E256" s="7" t="s">
        <v>562</v>
      </c>
      <c r="F256" s="37">
        <v>2E-3</v>
      </c>
    </row>
    <row r="257" spans="2:6" x14ac:dyDescent="0.35">
      <c r="B257" s="19" t="s">
        <v>655</v>
      </c>
      <c r="C257" s="19" t="s">
        <v>852</v>
      </c>
      <c r="D257" s="7" t="s">
        <v>488</v>
      </c>
      <c r="E257" s="7" t="s">
        <v>666</v>
      </c>
      <c r="F257" s="37">
        <v>4</v>
      </c>
    </row>
    <row r="258" spans="2:6" x14ac:dyDescent="0.35">
      <c r="B258" s="19" t="s">
        <v>667</v>
      </c>
      <c r="C258" s="19" t="s">
        <v>854</v>
      </c>
      <c r="D258" s="6" t="s">
        <v>668</v>
      </c>
      <c r="E258" s="7" t="s">
        <v>669</v>
      </c>
      <c r="F258" s="37">
        <v>1</v>
      </c>
    </row>
    <row r="259" spans="2:6" x14ac:dyDescent="0.35">
      <c r="B259" s="19" t="s">
        <v>667</v>
      </c>
      <c r="C259" s="19" t="s">
        <v>854</v>
      </c>
      <c r="D259" s="7" t="s">
        <v>130</v>
      </c>
      <c r="E259" s="7" t="s">
        <v>544</v>
      </c>
      <c r="F259" s="37">
        <v>1</v>
      </c>
    </row>
    <row r="260" spans="2:6" x14ac:dyDescent="0.35">
      <c r="B260" s="19" t="s">
        <v>667</v>
      </c>
      <c r="C260" s="19" t="s">
        <v>854</v>
      </c>
      <c r="D260" s="6" t="s">
        <v>156</v>
      </c>
      <c r="E260" s="7" t="s">
        <v>545</v>
      </c>
      <c r="F260" s="37">
        <v>1</v>
      </c>
    </row>
    <row r="261" spans="2:6" x14ac:dyDescent="0.35">
      <c r="B261" s="19" t="s">
        <v>667</v>
      </c>
      <c r="C261" s="19" t="s">
        <v>854</v>
      </c>
      <c r="D261" s="6" t="s">
        <v>158</v>
      </c>
      <c r="E261" s="7" t="s">
        <v>546</v>
      </c>
      <c r="F261" s="37">
        <v>1</v>
      </c>
    </row>
    <row r="262" spans="2:6" x14ac:dyDescent="0.35">
      <c r="B262" s="19" t="s">
        <v>667</v>
      </c>
      <c r="C262" s="19" t="s">
        <v>854</v>
      </c>
      <c r="D262" s="7" t="s">
        <v>252</v>
      </c>
      <c r="E262" s="7" t="s">
        <v>547</v>
      </c>
      <c r="F262" s="37">
        <v>1</v>
      </c>
    </row>
    <row r="263" spans="2:6" x14ac:dyDescent="0.35">
      <c r="B263" s="19" t="s">
        <v>667</v>
      </c>
      <c r="C263" s="19" t="s">
        <v>854</v>
      </c>
      <c r="D263" s="7" t="s">
        <v>268</v>
      </c>
      <c r="E263" s="7" t="s">
        <v>548</v>
      </c>
      <c r="F263" s="37">
        <v>1</v>
      </c>
    </row>
    <row r="264" spans="2:6" x14ac:dyDescent="0.35">
      <c r="B264" s="19" t="s">
        <v>667</v>
      </c>
      <c r="C264" s="19" t="s">
        <v>854</v>
      </c>
      <c r="D264" s="7" t="s">
        <v>278</v>
      </c>
      <c r="E264" s="7" t="s">
        <v>549</v>
      </c>
      <c r="F264" s="37">
        <v>1</v>
      </c>
    </row>
    <row r="265" spans="2:6" x14ac:dyDescent="0.35">
      <c r="B265" s="19" t="s">
        <v>667</v>
      </c>
      <c r="C265" s="19" t="s">
        <v>854</v>
      </c>
      <c r="D265" s="7" t="s">
        <v>288</v>
      </c>
      <c r="E265" s="7" t="s">
        <v>550</v>
      </c>
      <c r="F265" s="37">
        <v>1</v>
      </c>
    </row>
    <row r="266" spans="2:6" x14ac:dyDescent="0.35">
      <c r="B266" s="19" t="s">
        <v>667</v>
      </c>
      <c r="C266" s="19" t="s">
        <v>854</v>
      </c>
      <c r="D266" s="7" t="s">
        <v>298</v>
      </c>
      <c r="E266" s="7" t="s">
        <v>551</v>
      </c>
      <c r="F266" s="37">
        <v>1</v>
      </c>
    </row>
    <row r="267" spans="2:6" x14ac:dyDescent="0.35">
      <c r="B267" s="19" t="s">
        <v>667</v>
      </c>
      <c r="C267" s="19" t="s">
        <v>854</v>
      </c>
      <c r="D267" s="7" t="s">
        <v>332</v>
      </c>
      <c r="E267" s="7" t="s">
        <v>552</v>
      </c>
      <c r="F267" s="37">
        <v>2</v>
      </c>
    </row>
    <row r="268" spans="2:6" x14ac:dyDescent="0.35">
      <c r="B268" s="19" t="s">
        <v>667</v>
      </c>
      <c r="C268" s="19" t="s">
        <v>854</v>
      </c>
      <c r="D268" s="7" t="s">
        <v>334</v>
      </c>
      <c r="E268" s="7" t="s">
        <v>553</v>
      </c>
      <c r="F268" s="37">
        <v>1</v>
      </c>
    </row>
    <row r="269" spans="2:6" x14ac:dyDescent="0.35">
      <c r="B269" s="19" t="s">
        <v>667</v>
      </c>
      <c r="C269" s="19" t="s">
        <v>854</v>
      </c>
      <c r="D269" s="7" t="s">
        <v>346</v>
      </c>
      <c r="E269" s="7" t="s">
        <v>554</v>
      </c>
      <c r="F269" s="37">
        <v>1</v>
      </c>
    </row>
    <row r="270" spans="2:6" x14ac:dyDescent="0.35">
      <c r="B270" s="19" t="s">
        <v>667</v>
      </c>
      <c r="C270" s="19" t="s">
        <v>854</v>
      </c>
      <c r="D270" s="7" t="s">
        <v>356</v>
      </c>
      <c r="E270" s="7" t="s">
        <v>555</v>
      </c>
      <c r="F270" s="37">
        <v>1</v>
      </c>
    </row>
    <row r="271" spans="2:6" x14ac:dyDescent="0.35">
      <c r="B271" s="19" t="s">
        <v>667</v>
      </c>
      <c r="C271" s="19" t="s">
        <v>854</v>
      </c>
      <c r="D271" s="7" t="s">
        <v>362</v>
      </c>
      <c r="E271" s="7" t="s">
        <v>556</v>
      </c>
      <c r="F271" s="37">
        <v>1</v>
      </c>
    </row>
    <row r="272" spans="2:6" x14ac:dyDescent="0.35">
      <c r="B272" s="19" t="s">
        <v>667</v>
      </c>
      <c r="C272" s="19" t="s">
        <v>854</v>
      </c>
      <c r="D272" s="7" t="s">
        <v>364</v>
      </c>
      <c r="E272" s="7" t="s">
        <v>557</v>
      </c>
      <c r="F272" s="37">
        <v>2</v>
      </c>
    </row>
    <row r="273" spans="2:6" x14ac:dyDescent="0.35">
      <c r="B273" s="19" t="s">
        <v>667</v>
      </c>
      <c r="C273" s="19" t="s">
        <v>854</v>
      </c>
      <c r="D273" s="7" t="s">
        <v>372</v>
      </c>
      <c r="E273" s="7" t="s">
        <v>558</v>
      </c>
      <c r="F273" s="37">
        <v>2</v>
      </c>
    </row>
    <row r="274" spans="2:6" x14ac:dyDescent="0.35">
      <c r="B274" s="19" t="s">
        <v>667</v>
      </c>
      <c r="C274" s="19" t="s">
        <v>854</v>
      </c>
      <c r="D274" s="7" t="s">
        <v>380</v>
      </c>
      <c r="E274" s="7" t="s">
        <v>559</v>
      </c>
      <c r="F274" s="37">
        <v>1</v>
      </c>
    </row>
    <row r="275" spans="2:6" x14ac:dyDescent="0.35">
      <c r="B275" s="19" t="s">
        <v>667</v>
      </c>
      <c r="C275" s="19" t="s">
        <v>854</v>
      </c>
      <c r="D275" s="7" t="s">
        <v>438</v>
      </c>
      <c r="E275" s="7" t="s">
        <v>560</v>
      </c>
      <c r="F275" s="37">
        <v>1</v>
      </c>
    </row>
    <row r="276" spans="2:6" x14ac:dyDescent="0.35">
      <c r="B276" s="19" t="s">
        <v>667</v>
      </c>
      <c r="C276" s="19" t="s">
        <v>854</v>
      </c>
      <c r="D276" s="7" t="s">
        <v>480</v>
      </c>
      <c r="E276" s="7" t="s">
        <v>561</v>
      </c>
      <c r="F276" s="37">
        <v>0.01</v>
      </c>
    </row>
    <row r="277" spans="2:6" x14ac:dyDescent="0.35">
      <c r="B277" s="19" t="s">
        <v>667</v>
      </c>
      <c r="C277" s="19" t="s">
        <v>854</v>
      </c>
      <c r="D277" s="7" t="s">
        <v>482</v>
      </c>
      <c r="E277" s="7" t="s">
        <v>562</v>
      </c>
      <c r="F277" s="37">
        <v>1E-3</v>
      </c>
    </row>
    <row r="278" spans="2:6" x14ac:dyDescent="0.35">
      <c r="B278" s="19" t="s">
        <v>667</v>
      </c>
      <c r="C278" s="19" t="s">
        <v>854</v>
      </c>
      <c r="D278" s="7" t="s">
        <v>484</v>
      </c>
      <c r="E278" s="7" t="s">
        <v>563</v>
      </c>
      <c r="F278" s="37">
        <v>2</v>
      </c>
    </row>
    <row r="279" spans="2:6" x14ac:dyDescent="0.35">
      <c r="B279" s="19" t="s">
        <v>670</v>
      </c>
      <c r="C279" s="19" t="s">
        <v>856</v>
      </c>
      <c r="D279" s="6" t="s">
        <v>90</v>
      </c>
      <c r="E279" s="7" t="s">
        <v>671</v>
      </c>
      <c r="F279" s="37">
        <v>1</v>
      </c>
    </row>
    <row r="280" spans="2:6" x14ac:dyDescent="0.35">
      <c r="B280" s="19" t="s">
        <v>670</v>
      </c>
      <c r="C280" s="19" t="s">
        <v>856</v>
      </c>
      <c r="D280" s="7" t="s">
        <v>132</v>
      </c>
      <c r="E280" s="7" t="s">
        <v>566</v>
      </c>
      <c r="F280" s="37">
        <v>1</v>
      </c>
    </row>
    <row r="281" spans="2:6" x14ac:dyDescent="0.35">
      <c r="B281" s="19" t="s">
        <v>670</v>
      </c>
      <c r="C281" s="19" t="s">
        <v>856</v>
      </c>
      <c r="D281" s="6" t="s">
        <v>160</v>
      </c>
      <c r="E281" s="7" t="s">
        <v>567</v>
      </c>
      <c r="F281" s="37">
        <v>1</v>
      </c>
    </row>
    <row r="282" spans="2:6" x14ac:dyDescent="0.35">
      <c r="B282" s="19" t="s">
        <v>670</v>
      </c>
      <c r="C282" s="19" t="s">
        <v>856</v>
      </c>
      <c r="D282" s="6" t="s">
        <v>162</v>
      </c>
      <c r="E282" s="7" t="s">
        <v>568</v>
      </c>
      <c r="F282" s="37">
        <v>1</v>
      </c>
    </row>
    <row r="283" spans="2:6" x14ac:dyDescent="0.35">
      <c r="B283" s="19" t="s">
        <v>670</v>
      </c>
      <c r="C283" s="19" t="s">
        <v>856</v>
      </c>
      <c r="D283" s="7" t="s">
        <v>254</v>
      </c>
      <c r="E283" s="7" t="s">
        <v>569</v>
      </c>
      <c r="F283" s="37">
        <v>1</v>
      </c>
    </row>
    <row r="284" spans="2:6" x14ac:dyDescent="0.35">
      <c r="B284" s="19" t="s">
        <v>670</v>
      </c>
      <c r="C284" s="19" t="s">
        <v>856</v>
      </c>
      <c r="D284" s="7" t="s">
        <v>270</v>
      </c>
      <c r="E284" s="7" t="s">
        <v>570</v>
      </c>
      <c r="F284" s="37">
        <v>1</v>
      </c>
    </row>
    <row r="285" spans="2:6" x14ac:dyDescent="0.35">
      <c r="B285" s="19" t="s">
        <v>670</v>
      </c>
      <c r="C285" s="19" t="s">
        <v>856</v>
      </c>
      <c r="D285" s="7" t="s">
        <v>278</v>
      </c>
      <c r="E285" s="7" t="s">
        <v>549</v>
      </c>
      <c r="F285" s="37">
        <v>1</v>
      </c>
    </row>
    <row r="286" spans="2:6" x14ac:dyDescent="0.35">
      <c r="B286" s="19" t="s">
        <v>670</v>
      </c>
      <c r="C286" s="19" t="s">
        <v>856</v>
      </c>
      <c r="D286" s="7" t="s">
        <v>288</v>
      </c>
      <c r="E286" s="7" t="s">
        <v>550</v>
      </c>
      <c r="F286" s="37">
        <v>1</v>
      </c>
    </row>
    <row r="287" spans="2:6" x14ac:dyDescent="0.35">
      <c r="B287" s="19" t="s">
        <v>670</v>
      </c>
      <c r="C287" s="19" t="s">
        <v>856</v>
      </c>
      <c r="D287" s="7" t="s">
        <v>300</v>
      </c>
      <c r="E287" s="7" t="s">
        <v>571</v>
      </c>
      <c r="F287" s="37">
        <v>1</v>
      </c>
    </row>
    <row r="288" spans="2:6" x14ac:dyDescent="0.35">
      <c r="B288" s="19" t="s">
        <v>670</v>
      </c>
      <c r="C288" s="19" t="s">
        <v>856</v>
      </c>
      <c r="D288" s="7" t="s">
        <v>332</v>
      </c>
      <c r="E288" s="7" t="s">
        <v>552</v>
      </c>
      <c r="F288" s="37">
        <v>2</v>
      </c>
    </row>
    <row r="289" spans="2:6" x14ac:dyDescent="0.35">
      <c r="B289" s="19" t="s">
        <v>670</v>
      </c>
      <c r="C289" s="19" t="s">
        <v>856</v>
      </c>
      <c r="D289" s="7" t="s">
        <v>334</v>
      </c>
      <c r="E289" s="7" t="s">
        <v>553</v>
      </c>
      <c r="F289" s="37">
        <v>1</v>
      </c>
    </row>
    <row r="290" spans="2:6" x14ac:dyDescent="0.35">
      <c r="B290" s="19" t="s">
        <v>670</v>
      </c>
      <c r="C290" s="19" t="s">
        <v>856</v>
      </c>
      <c r="D290" s="7" t="s">
        <v>346</v>
      </c>
      <c r="E290" s="7" t="s">
        <v>554</v>
      </c>
      <c r="F290" s="37">
        <v>1</v>
      </c>
    </row>
    <row r="291" spans="2:6" x14ac:dyDescent="0.35">
      <c r="B291" s="19" t="s">
        <v>670</v>
      </c>
      <c r="C291" s="19" t="s">
        <v>856</v>
      </c>
      <c r="D291" s="7" t="s">
        <v>356</v>
      </c>
      <c r="E291" s="7" t="s">
        <v>555</v>
      </c>
      <c r="F291" s="37">
        <v>1</v>
      </c>
    </row>
    <row r="292" spans="2:6" x14ac:dyDescent="0.35">
      <c r="B292" s="19" t="s">
        <v>670</v>
      </c>
      <c r="C292" s="19" t="s">
        <v>856</v>
      </c>
      <c r="D292" s="7" t="s">
        <v>362</v>
      </c>
      <c r="E292" s="7" t="s">
        <v>556</v>
      </c>
      <c r="F292" s="37">
        <v>1</v>
      </c>
    </row>
    <row r="293" spans="2:6" x14ac:dyDescent="0.35">
      <c r="B293" s="19" t="s">
        <v>670</v>
      </c>
      <c r="C293" s="19" t="s">
        <v>856</v>
      </c>
      <c r="D293" s="7" t="s">
        <v>364</v>
      </c>
      <c r="E293" s="7" t="s">
        <v>557</v>
      </c>
      <c r="F293" s="37">
        <v>2</v>
      </c>
    </row>
    <row r="294" spans="2:6" x14ac:dyDescent="0.35">
      <c r="B294" s="19" t="s">
        <v>670</v>
      </c>
      <c r="C294" s="19" t="s">
        <v>856</v>
      </c>
      <c r="D294" s="7" t="s">
        <v>372</v>
      </c>
      <c r="E294" s="7" t="s">
        <v>558</v>
      </c>
      <c r="F294" s="37">
        <v>2</v>
      </c>
    </row>
    <row r="295" spans="2:6" x14ac:dyDescent="0.35">
      <c r="B295" s="19" t="s">
        <v>670</v>
      </c>
      <c r="C295" s="19" t="s">
        <v>856</v>
      </c>
      <c r="D295" s="7" t="s">
        <v>380</v>
      </c>
      <c r="E295" s="7" t="s">
        <v>559</v>
      </c>
      <c r="F295" s="37">
        <v>1</v>
      </c>
    </row>
    <row r="296" spans="2:6" x14ac:dyDescent="0.35">
      <c r="B296" s="19" t="s">
        <v>670</v>
      </c>
      <c r="C296" s="19" t="s">
        <v>856</v>
      </c>
      <c r="D296" s="7" t="s">
        <v>438</v>
      </c>
      <c r="E296" s="7" t="s">
        <v>560</v>
      </c>
      <c r="F296" s="37">
        <v>1</v>
      </c>
    </row>
    <row r="297" spans="2:6" x14ac:dyDescent="0.35">
      <c r="B297" s="19" t="s">
        <v>670</v>
      </c>
      <c r="C297" s="19" t="s">
        <v>856</v>
      </c>
      <c r="D297" s="7" t="s">
        <v>480</v>
      </c>
      <c r="E297" s="7" t="s">
        <v>561</v>
      </c>
      <c r="F297" s="37">
        <v>0.01</v>
      </c>
    </row>
    <row r="298" spans="2:6" x14ac:dyDescent="0.35">
      <c r="B298" s="19" t="s">
        <v>670</v>
      </c>
      <c r="C298" s="19" t="s">
        <v>856</v>
      </c>
      <c r="D298" s="7" t="s">
        <v>482</v>
      </c>
      <c r="E298" s="7" t="s">
        <v>562</v>
      </c>
      <c r="F298" s="37">
        <v>1E-3</v>
      </c>
    </row>
    <row r="299" spans="2:6" x14ac:dyDescent="0.35">
      <c r="B299" s="19" t="s">
        <v>670</v>
      </c>
      <c r="C299" s="19" t="s">
        <v>856</v>
      </c>
      <c r="D299" s="7" t="s">
        <v>484</v>
      </c>
      <c r="E299" s="7" t="s">
        <v>563</v>
      </c>
      <c r="F299" s="37">
        <v>2</v>
      </c>
    </row>
    <row r="300" spans="2:6" x14ac:dyDescent="0.35">
      <c r="B300" s="19" t="s">
        <v>672</v>
      </c>
      <c r="C300" s="19" t="s">
        <v>857</v>
      </c>
      <c r="D300" s="6" t="s">
        <v>70</v>
      </c>
      <c r="E300" s="7" t="s">
        <v>673</v>
      </c>
      <c r="F300" s="37">
        <v>1</v>
      </c>
    </row>
    <row r="301" spans="2:6" x14ac:dyDescent="0.35">
      <c r="B301" s="19" t="s">
        <v>672</v>
      </c>
      <c r="C301" s="19" t="s">
        <v>857</v>
      </c>
      <c r="D301" s="7" t="s">
        <v>134</v>
      </c>
      <c r="E301" s="7" t="s">
        <v>574</v>
      </c>
      <c r="F301" s="37">
        <v>1</v>
      </c>
    </row>
    <row r="302" spans="2:6" x14ac:dyDescent="0.35">
      <c r="B302" s="19" t="s">
        <v>672</v>
      </c>
      <c r="C302" s="19" t="s">
        <v>857</v>
      </c>
      <c r="D302" s="6" t="s">
        <v>164</v>
      </c>
      <c r="E302" s="7" t="s">
        <v>575</v>
      </c>
      <c r="F302" s="37">
        <v>1</v>
      </c>
    </row>
    <row r="303" spans="2:6" x14ac:dyDescent="0.35">
      <c r="B303" s="19" t="s">
        <v>672</v>
      </c>
      <c r="C303" s="19" t="s">
        <v>857</v>
      </c>
      <c r="D303" s="6" t="s">
        <v>166</v>
      </c>
      <c r="E303" s="7" t="s">
        <v>576</v>
      </c>
      <c r="F303" s="37">
        <v>1</v>
      </c>
    </row>
    <row r="304" spans="2:6" x14ac:dyDescent="0.35">
      <c r="B304" s="19" t="s">
        <v>672</v>
      </c>
      <c r="C304" s="19" t="s">
        <v>857</v>
      </c>
      <c r="D304" s="7" t="s">
        <v>256</v>
      </c>
      <c r="E304" s="7" t="s">
        <v>577</v>
      </c>
      <c r="F304" s="37">
        <v>1</v>
      </c>
    </row>
    <row r="305" spans="2:6" x14ac:dyDescent="0.35">
      <c r="B305" s="19" t="s">
        <v>672</v>
      </c>
      <c r="C305" s="19" t="s">
        <v>857</v>
      </c>
      <c r="D305" s="7" t="s">
        <v>272</v>
      </c>
      <c r="E305" s="7" t="s">
        <v>578</v>
      </c>
      <c r="F305" s="37">
        <v>1</v>
      </c>
    </row>
    <row r="306" spans="2:6" x14ac:dyDescent="0.35">
      <c r="B306" s="19" t="s">
        <v>672</v>
      </c>
      <c r="C306" s="19" t="s">
        <v>857</v>
      </c>
      <c r="D306" s="7" t="s">
        <v>278</v>
      </c>
      <c r="E306" s="7" t="s">
        <v>549</v>
      </c>
      <c r="F306" s="37">
        <v>1</v>
      </c>
    </row>
    <row r="307" spans="2:6" x14ac:dyDescent="0.35">
      <c r="B307" s="19" t="s">
        <v>672</v>
      </c>
      <c r="C307" s="19" t="s">
        <v>857</v>
      </c>
      <c r="D307" s="7" t="s">
        <v>288</v>
      </c>
      <c r="E307" s="7" t="s">
        <v>550</v>
      </c>
      <c r="F307" s="37">
        <v>1</v>
      </c>
    </row>
    <row r="308" spans="2:6" x14ac:dyDescent="0.35">
      <c r="B308" s="19" t="s">
        <v>672</v>
      </c>
      <c r="C308" s="19" t="s">
        <v>857</v>
      </c>
      <c r="D308" s="7" t="s">
        <v>302</v>
      </c>
      <c r="E308" s="7" t="s">
        <v>579</v>
      </c>
      <c r="F308" s="37">
        <v>1</v>
      </c>
    </row>
    <row r="309" spans="2:6" x14ac:dyDescent="0.35">
      <c r="B309" s="19" t="s">
        <v>672</v>
      </c>
      <c r="C309" s="19" t="s">
        <v>857</v>
      </c>
      <c r="D309" s="7" t="s">
        <v>332</v>
      </c>
      <c r="E309" s="7" t="s">
        <v>552</v>
      </c>
      <c r="F309" s="37">
        <v>2</v>
      </c>
    </row>
    <row r="310" spans="2:6" x14ac:dyDescent="0.35">
      <c r="B310" s="19" t="s">
        <v>672</v>
      </c>
      <c r="C310" s="19" t="s">
        <v>857</v>
      </c>
      <c r="D310" s="7" t="s">
        <v>334</v>
      </c>
      <c r="E310" s="7" t="s">
        <v>553</v>
      </c>
      <c r="F310" s="37">
        <v>1</v>
      </c>
    </row>
    <row r="311" spans="2:6" x14ac:dyDescent="0.35">
      <c r="B311" s="19" t="s">
        <v>672</v>
      </c>
      <c r="C311" s="19" t="s">
        <v>857</v>
      </c>
      <c r="D311" s="7" t="s">
        <v>346</v>
      </c>
      <c r="E311" s="7" t="s">
        <v>554</v>
      </c>
      <c r="F311" s="37">
        <v>1</v>
      </c>
    </row>
    <row r="312" spans="2:6" x14ac:dyDescent="0.35">
      <c r="B312" s="19" t="s">
        <v>672</v>
      </c>
      <c r="C312" s="19" t="s">
        <v>857</v>
      </c>
      <c r="D312" s="7" t="s">
        <v>356</v>
      </c>
      <c r="E312" s="7" t="s">
        <v>555</v>
      </c>
      <c r="F312" s="37">
        <v>1</v>
      </c>
    </row>
    <row r="313" spans="2:6" x14ac:dyDescent="0.35">
      <c r="B313" s="19" t="s">
        <v>672</v>
      </c>
      <c r="C313" s="19" t="s">
        <v>857</v>
      </c>
      <c r="D313" s="7" t="s">
        <v>362</v>
      </c>
      <c r="E313" s="7" t="s">
        <v>556</v>
      </c>
      <c r="F313" s="37">
        <v>1</v>
      </c>
    </row>
    <row r="314" spans="2:6" x14ac:dyDescent="0.35">
      <c r="B314" s="19" t="s">
        <v>672</v>
      </c>
      <c r="C314" s="19" t="s">
        <v>857</v>
      </c>
      <c r="D314" s="7" t="s">
        <v>364</v>
      </c>
      <c r="E314" s="7" t="s">
        <v>557</v>
      </c>
      <c r="F314" s="37">
        <v>2</v>
      </c>
    </row>
    <row r="315" spans="2:6" x14ac:dyDescent="0.35">
      <c r="B315" s="19" t="s">
        <v>672</v>
      </c>
      <c r="C315" s="19" t="s">
        <v>857</v>
      </c>
      <c r="D315" s="7" t="s">
        <v>372</v>
      </c>
      <c r="E315" s="7" t="s">
        <v>558</v>
      </c>
      <c r="F315" s="37">
        <v>2</v>
      </c>
    </row>
    <row r="316" spans="2:6" x14ac:dyDescent="0.35">
      <c r="B316" s="19" t="s">
        <v>672</v>
      </c>
      <c r="C316" s="19" t="s">
        <v>857</v>
      </c>
      <c r="D316" s="7" t="s">
        <v>380</v>
      </c>
      <c r="E316" s="7" t="s">
        <v>559</v>
      </c>
      <c r="F316" s="37">
        <v>1</v>
      </c>
    </row>
    <row r="317" spans="2:6" x14ac:dyDescent="0.35">
      <c r="B317" s="19" t="s">
        <v>672</v>
      </c>
      <c r="C317" s="19" t="s">
        <v>857</v>
      </c>
      <c r="D317" s="7" t="s">
        <v>438</v>
      </c>
      <c r="E317" s="7" t="s">
        <v>560</v>
      </c>
      <c r="F317" s="37">
        <v>1</v>
      </c>
    </row>
    <row r="318" spans="2:6" x14ac:dyDescent="0.35">
      <c r="B318" s="19" t="s">
        <v>672</v>
      </c>
      <c r="C318" s="19" t="s">
        <v>857</v>
      </c>
      <c r="D318" s="7" t="s">
        <v>480</v>
      </c>
      <c r="E318" s="7" t="s">
        <v>561</v>
      </c>
      <c r="F318" s="37">
        <v>0.01</v>
      </c>
    </row>
    <row r="319" spans="2:6" x14ac:dyDescent="0.35">
      <c r="B319" s="19" t="s">
        <v>672</v>
      </c>
      <c r="C319" s="19" t="s">
        <v>857</v>
      </c>
      <c r="D319" s="7" t="s">
        <v>482</v>
      </c>
      <c r="E319" s="7" t="s">
        <v>562</v>
      </c>
      <c r="F319" s="37">
        <v>1E-3</v>
      </c>
    </row>
    <row r="320" spans="2:6" x14ac:dyDescent="0.35">
      <c r="B320" s="19" t="s">
        <v>672</v>
      </c>
      <c r="C320" s="19" t="s">
        <v>857</v>
      </c>
      <c r="D320" s="7" t="s">
        <v>484</v>
      </c>
      <c r="E320" s="7" t="s">
        <v>563</v>
      </c>
      <c r="F320" s="37">
        <v>2</v>
      </c>
    </row>
    <row r="321" spans="2:6" x14ac:dyDescent="0.35">
      <c r="B321" s="19" t="s">
        <v>674</v>
      </c>
      <c r="C321" s="19" t="s">
        <v>858</v>
      </c>
      <c r="D321" s="6" t="s">
        <v>72</v>
      </c>
      <c r="E321" s="7" t="s">
        <v>675</v>
      </c>
      <c r="F321" s="37">
        <v>1</v>
      </c>
    </row>
    <row r="322" spans="2:6" x14ac:dyDescent="0.35">
      <c r="B322" s="19" t="s">
        <v>674</v>
      </c>
      <c r="C322" s="19" t="s">
        <v>858</v>
      </c>
      <c r="D322" s="7" t="s">
        <v>136</v>
      </c>
      <c r="E322" s="7" t="s">
        <v>582</v>
      </c>
      <c r="F322" s="37">
        <v>1</v>
      </c>
    </row>
    <row r="323" spans="2:6" x14ac:dyDescent="0.35">
      <c r="B323" s="19" t="s">
        <v>674</v>
      </c>
      <c r="C323" s="19" t="s">
        <v>858</v>
      </c>
      <c r="D323" s="6" t="s">
        <v>168</v>
      </c>
      <c r="E323" s="7" t="s">
        <v>583</v>
      </c>
      <c r="F323" s="37">
        <v>1</v>
      </c>
    </row>
    <row r="324" spans="2:6" x14ac:dyDescent="0.35">
      <c r="B324" s="19" t="s">
        <v>674</v>
      </c>
      <c r="C324" s="19" t="s">
        <v>858</v>
      </c>
      <c r="D324" s="6" t="s">
        <v>170</v>
      </c>
      <c r="E324" s="7" t="s">
        <v>584</v>
      </c>
      <c r="F324" s="37">
        <v>1</v>
      </c>
    </row>
    <row r="325" spans="2:6" x14ac:dyDescent="0.35">
      <c r="B325" s="19" t="s">
        <v>674</v>
      </c>
      <c r="C325" s="19" t="s">
        <v>858</v>
      </c>
      <c r="D325" s="7" t="s">
        <v>258</v>
      </c>
      <c r="E325" s="7" t="s">
        <v>585</v>
      </c>
      <c r="F325" s="37">
        <v>1</v>
      </c>
    </row>
    <row r="326" spans="2:6" x14ac:dyDescent="0.35">
      <c r="B326" s="19" t="s">
        <v>674</v>
      </c>
      <c r="C326" s="19" t="s">
        <v>858</v>
      </c>
      <c r="D326" s="7" t="s">
        <v>274</v>
      </c>
      <c r="E326" s="7" t="s">
        <v>586</v>
      </c>
      <c r="F326" s="37">
        <v>1</v>
      </c>
    </row>
    <row r="327" spans="2:6" x14ac:dyDescent="0.35">
      <c r="B327" s="19" t="s">
        <v>674</v>
      </c>
      <c r="C327" s="19" t="s">
        <v>858</v>
      </c>
      <c r="D327" s="7" t="s">
        <v>284</v>
      </c>
      <c r="E327" s="7" t="s">
        <v>587</v>
      </c>
      <c r="F327" s="37">
        <v>1</v>
      </c>
    </row>
    <row r="328" spans="2:6" x14ac:dyDescent="0.35">
      <c r="B328" s="19" t="s">
        <v>674</v>
      </c>
      <c r="C328" s="19" t="s">
        <v>858</v>
      </c>
      <c r="D328" s="7" t="s">
        <v>294</v>
      </c>
      <c r="E328" s="7" t="s">
        <v>588</v>
      </c>
      <c r="F328" s="37">
        <v>1</v>
      </c>
    </row>
    <row r="329" spans="2:6" x14ac:dyDescent="0.35">
      <c r="B329" s="19" t="s">
        <v>674</v>
      </c>
      <c r="C329" s="19" t="s">
        <v>858</v>
      </c>
      <c r="D329" s="7" t="s">
        <v>304</v>
      </c>
      <c r="E329" s="7" t="s">
        <v>589</v>
      </c>
      <c r="F329" s="37">
        <v>1</v>
      </c>
    </row>
    <row r="330" spans="2:6" x14ac:dyDescent="0.35">
      <c r="B330" s="19" t="s">
        <v>674</v>
      </c>
      <c r="C330" s="19" t="s">
        <v>858</v>
      </c>
      <c r="D330" s="7" t="s">
        <v>332</v>
      </c>
      <c r="E330" s="7" t="s">
        <v>552</v>
      </c>
      <c r="F330" s="37">
        <v>2</v>
      </c>
    </row>
    <row r="331" spans="2:6" x14ac:dyDescent="0.35">
      <c r="B331" s="19" t="s">
        <v>674</v>
      </c>
      <c r="C331" s="19" t="s">
        <v>858</v>
      </c>
      <c r="D331" s="7" t="s">
        <v>338</v>
      </c>
      <c r="E331" s="7" t="s">
        <v>590</v>
      </c>
      <c r="F331" s="37">
        <v>1</v>
      </c>
    </row>
    <row r="332" spans="2:6" x14ac:dyDescent="0.35">
      <c r="B332" s="19" t="s">
        <v>674</v>
      </c>
      <c r="C332" s="19" t="s">
        <v>858</v>
      </c>
      <c r="D332" s="7" t="s">
        <v>348</v>
      </c>
      <c r="E332" s="7" t="s">
        <v>591</v>
      </c>
      <c r="F332" s="37">
        <v>1</v>
      </c>
    </row>
    <row r="333" spans="2:6" x14ac:dyDescent="0.35">
      <c r="B333" s="19" t="s">
        <v>674</v>
      </c>
      <c r="C333" s="19" t="s">
        <v>858</v>
      </c>
      <c r="D333" s="7" t="s">
        <v>358</v>
      </c>
      <c r="E333" s="7" t="s">
        <v>592</v>
      </c>
      <c r="F333" s="37">
        <v>1</v>
      </c>
    </row>
    <row r="334" spans="2:6" x14ac:dyDescent="0.35">
      <c r="B334" s="19" t="s">
        <v>674</v>
      </c>
      <c r="C334" s="19" t="s">
        <v>858</v>
      </c>
      <c r="D334" s="7" t="s">
        <v>360</v>
      </c>
      <c r="E334" s="7" t="s">
        <v>593</v>
      </c>
      <c r="F334" s="37">
        <v>1</v>
      </c>
    </row>
    <row r="335" spans="2:6" x14ac:dyDescent="0.35">
      <c r="B335" s="19" t="s">
        <v>674</v>
      </c>
      <c r="C335" s="19" t="s">
        <v>858</v>
      </c>
      <c r="D335" s="7" t="s">
        <v>364</v>
      </c>
      <c r="E335" s="7" t="s">
        <v>557</v>
      </c>
      <c r="F335" s="37">
        <v>2</v>
      </c>
    </row>
    <row r="336" spans="2:6" x14ac:dyDescent="0.35">
      <c r="B336" s="19" t="s">
        <v>674</v>
      </c>
      <c r="C336" s="19" t="s">
        <v>858</v>
      </c>
      <c r="D336" s="7" t="s">
        <v>370</v>
      </c>
      <c r="E336" s="7" t="s">
        <v>594</v>
      </c>
      <c r="F336" s="37">
        <v>1</v>
      </c>
    </row>
    <row r="337" spans="2:6" x14ac:dyDescent="0.35">
      <c r="B337" s="19" t="s">
        <v>674</v>
      </c>
      <c r="C337" s="19" t="s">
        <v>858</v>
      </c>
      <c r="D337" s="7" t="s">
        <v>372</v>
      </c>
      <c r="E337" s="7" t="s">
        <v>558</v>
      </c>
      <c r="F337" s="37">
        <v>2</v>
      </c>
    </row>
    <row r="338" spans="2:6" x14ac:dyDescent="0.35">
      <c r="B338" s="19" t="s">
        <v>674</v>
      </c>
      <c r="C338" s="19" t="s">
        <v>858</v>
      </c>
      <c r="D338" s="7" t="s">
        <v>382</v>
      </c>
      <c r="E338" s="7" t="s">
        <v>595</v>
      </c>
      <c r="F338" s="37">
        <v>1</v>
      </c>
    </row>
    <row r="339" spans="2:6" x14ac:dyDescent="0.35">
      <c r="B339" s="19" t="s">
        <v>674</v>
      </c>
      <c r="C339" s="19" t="s">
        <v>858</v>
      </c>
      <c r="D339" s="7" t="s">
        <v>480</v>
      </c>
      <c r="E339" s="7" t="s">
        <v>561</v>
      </c>
      <c r="F339" s="37">
        <v>0.01</v>
      </c>
    </row>
    <row r="340" spans="2:6" x14ac:dyDescent="0.35">
      <c r="B340" s="19" t="s">
        <v>674</v>
      </c>
      <c r="C340" s="19" t="s">
        <v>858</v>
      </c>
      <c r="D340" s="7" t="s">
        <v>482</v>
      </c>
      <c r="E340" s="7" t="s">
        <v>562</v>
      </c>
      <c r="F340" s="37">
        <v>1E-3</v>
      </c>
    </row>
    <row r="341" spans="2:6" x14ac:dyDescent="0.35">
      <c r="B341" s="19" t="s">
        <v>674</v>
      </c>
      <c r="C341" s="19" t="s">
        <v>858</v>
      </c>
      <c r="D341" s="7" t="s">
        <v>484</v>
      </c>
      <c r="E341" s="7" t="s">
        <v>563</v>
      </c>
      <c r="F341" s="37">
        <v>2</v>
      </c>
    </row>
    <row r="342" spans="2:6" x14ac:dyDescent="0.35">
      <c r="B342" s="19" t="s">
        <v>676</v>
      </c>
      <c r="C342" s="19" t="s">
        <v>859</v>
      </c>
      <c r="D342" s="6" t="s">
        <v>72</v>
      </c>
      <c r="E342" s="7" t="s">
        <v>675</v>
      </c>
      <c r="F342" s="37">
        <v>1</v>
      </c>
    </row>
    <row r="343" spans="2:6" x14ac:dyDescent="0.35">
      <c r="B343" s="19" t="s">
        <v>676</v>
      </c>
      <c r="C343" s="19" t="s">
        <v>859</v>
      </c>
      <c r="D343" s="7" t="s">
        <v>136</v>
      </c>
      <c r="E343" s="7" t="s">
        <v>582</v>
      </c>
      <c r="F343" s="37">
        <v>1</v>
      </c>
    </row>
    <row r="344" spans="2:6" x14ac:dyDescent="0.35">
      <c r="B344" s="19" t="s">
        <v>676</v>
      </c>
      <c r="C344" s="19" t="s">
        <v>859</v>
      </c>
      <c r="D344" s="6" t="s">
        <v>168</v>
      </c>
      <c r="E344" s="7" t="s">
        <v>583</v>
      </c>
      <c r="F344" s="37">
        <v>1</v>
      </c>
    </row>
    <row r="345" spans="2:6" x14ac:dyDescent="0.35">
      <c r="B345" s="19" t="s">
        <v>676</v>
      </c>
      <c r="C345" s="19" t="s">
        <v>859</v>
      </c>
      <c r="D345" s="6" t="s">
        <v>170</v>
      </c>
      <c r="E345" s="7" t="s">
        <v>584</v>
      </c>
      <c r="F345" s="37">
        <v>1</v>
      </c>
    </row>
    <row r="346" spans="2:6" x14ac:dyDescent="0.35">
      <c r="B346" s="19" t="s">
        <v>676</v>
      </c>
      <c r="C346" s="19" t="s">
        <v>859</v>
      </c>
      <c r="D346" s="7" t="s">
        <v>260</v>
      </c>
      <c r="E346" s="7" t="s">
        <v>597</v>
      </c>
      <c r="F346" s="37">
        <v>1</v>
      </c>
    </row>
    <row r="347" spans="2:6" x14ac:dyDescent="0.35">
      <c r="B347" s="19" t="s">
        <v>676</v>
      </c>
      <c r="C347" s="19" t="s">
        <v>859</v>
      </c>
      <c r="D347" s="7" t="s">
        <v>274</v>
      </c>
      <c r="E347" s="7" t="s">
        <v>586</v>
      </c>
      <c r="F347" s="37">
        <v>1</v>
      </c>
    </row>
    <row r="348" spans="2:6" x14ac:dyDescent="0.35">
      <c r="B348" s="19" t="s">
        <v>676</v>
      </c>
      <c r="C348" s="19" t="s">
        <v>859</v>
      </c>
      <c r="D348" s="7" t="s">
        <v>284</v>
      </c>
      <c r="E348" s="7" t="s">
        <v>587</v>
      </c>
      <c r="F348" s="37">
        <v>1</v>
      </c>
    </row>
    <row r="349" spans="2:6" x14ac:dyDescent="0.35">
      <c r="B349" s="19" t="s">
        <v>676</v>
      </c>
      <c r="C349" s="19" t="s">
        <v>859</v>
      </c>
      <c r="D349" s="7" t="s">
        <v>294</v>
      </c>
      <c r="E349" s="7" t="s">
        <v>588</v>
      </c>
      <c r="F349" s="37">
        <v>1</v>
      </c>
    </row>
    <row r="350" spans="2:6" x14ac:dyDescent="0.35">
      <c r="B350" s="19" t="s">
        <v>676</v>
      </c>
      <c r="C350" s="19" t="s">
        <v>859</v>
      </c>
      <c r="D350" s="7" t="s">
        <v>304</v>
      </c>
      <c r="E350" s="7" t="s">
        <v>589</v>
      </c>
      <c r="F350" s="37">
        <v>1</v>
      </c>
    </row>
    <row r="351" spans="2:6" x14ac:dyDescent="0.35">
      <c r="B351" s="19" t="s">
        <v>676</v>
      </c>
      <c r="C351" s="19" t="s">
        <v>859</v>
      </c>
      <c r="D351" s="7" t="s">
        <v>332</v>
      </c>
      <c r="E351" s="7" t="s">
        <v>552</v>
      </c>
      <c r="F351" s="37">
        <v>2</v>
      </c>
    </row>
    <row r="352" spans="2:6" x14ac:dyDescent="0.35">
      <c r="B352" s="19" t="s">
        <v>676</v>
      </c>
      <c r="C352" s="19" t="s">
        <v>859</v>
      </c>
      <c r="D352" s="7" t="s">
        <v>338</v>
      </c>
      <c r="E352" s="7" t="s">
        <v>590</v>
      </c>
      <c r="F352" s="37">
        <v>1</v>
      </c>
    </row>
    <row r="353" spans="2:6" x14ac:dyDescent="0.35">
      <c r="B353" s="19" t="s">
        <v>676</v>
      </c>
      <c r="C353" s="19" t="s">
        <v>859</v>
      </c>
      <c r="D353" s="7" t="s">
        <v>348</v>
      </c>
      <c r="E353" s="7" t="s">
        <v>591</v>
      </c>
      <c r="F353" s="37">
        <v>1</v>
      </c>
    </row>
    <row r="354" spans="2:6" x14ac:dyDescent="0.35">
      <c r="B354" s="19" t="s">
        <v>676</v>
      </c>
      <c r="C354" s="19" t="s">
        <v>859</v>
      </c>
      <c r="D354" s="7" t="s">
        <v>358</v>
      </c>
      <c r="E354" s="7" t="s">
        <v>592</v>
      </c>
      <c r="F354" s="37">
        <v>1</v>
      </c>
    </row>
    <row r="355" spans="2:6" x14ac:dyDescent="0.35">
      <c r="B355" s="19" t="s">
        <v>676</v>
      </c>
      <c r="C355" s="19" t="s">
        <v>859</v>
      </c>
      <c r="D355" s="7" t="s">
        <v>360</v>
      </c>
      <c r="E355" s="7" t="s">
        <v>593</v>
      </c>
      <c r="F355" s="37">
        <v>1</v>
      </c>
    </row>
    <row r="356" spans="2:6" x14ac:dyDescent="0.35">
      <c r="B356" s="19" t="s">
        <v>676</v>
      </c>
      <c r="C356" s="19" t="s">
        <v>859</v>
      </c>
      <c r="D356" s="7" t="s">
        <v>364</v>
      </c>
      <c r="E356" s="7" t="s">
        <v>557</v>
      </c>
      <c r="F356" s="37">
        <v>2</v>
      </c>
    </row>
    <row r="357" spans="2:6" x14ac:dyDescent="0.35">
      <c r="B357" s="19" t="s">
        <v>676</v>
      </c>
      <c r="C357" s="19" t="s">
        <v>859</v>
      </c>
      <c r="D357" s="7" t="s">
        <v>370</v>
      </c>
      <c r="E357" s="7" t="s">
        <v>594</v>
      </c>
      <c r="F357" s="37">
        <v>1</v>
      </c>
    </row>
    <row r="358" spans="2:6" x14ac:dyDescent="0.35">
      <c r="B358" s="19" t="s">
        <v>676</v>
      </c>
      <c r="C358" s="19" t="s">
        <v>859</v>
      </c>
      <c r="D358" s="7" t="s">
        <v>378</v>
      </c>
      <c r="E358" s="7" t="s">
        <v>677</v>
      </c>
      <c r="F358" s="37">
        <v>2</v>
      </c>
    </row>
    <row r="359" spans="2:6" x14ac:dyDescent="0.35">
      <c r="B359" s="19" t="s">
        <v>676</v>
      </c>
      <c r="C359" s="19" t="s">
        <v>859</v>
      </c>
      <c r="D359" s="7" t="s">
        <v>382</v>
      </c>
      <c r="E359" s="7" t="s">
        <v>595</v>
      </c>
      <c r="F359" s="37">
        <v>1</v>
      </c>
    </row>
    <row r="360" spans="2:6" x14ac:dyDescent="0.35">
      <c r="B360" s="19" t="s">
        <v>676</v>
      </c>
      <c r="C360" s="19" t="s">
        <v>859</v>
      </c>
      <c r="D360" s="7" t="s">
        <v>480</v>
      </c>
      <c r="E360" s="7" t="s">
        <v>561</v>
      </c>
      <c r="F360" s="37">
        <v>0.01</v>
      </c>
    </row>
    <row r="361" spans="2:6" x14ac:dyDescent="0.35">
      <c r="B361" s="19" t="s">
        <v>676</v>
      </c>
      <c r="C361" s="19" t="s">
        <v>859</v>
      </c>
      <c r="D361" s="7" t="s">
        <v>482</v>
      </c>
      <c r="E361" s="7" t="s">
        <v>562</v>
      </c>
      <c r="F361" s="37">
        <v>1E-3</v>
      </c>
    </row>
    <row r="362" spans="2:6" x14ac:dyDescent="0.35">
      <c r="B362" s="19" t="s">
        <v>676</v>
      </c>
      <c r="C362" s="19" t="s">
        <v>859</v>
      </c>
      <c r="D362" s="7" t="s">
        <v>484</v>
      </c>
      <c r="E362" s="7" t="s">
        <v>563</v>
      </c>
      <c r="F362" s="37">
        <v>2</v>
      </c>
    </row>
    <row r="363" spans="2:6" x14ac:dyDescent="0.35">
      <c r="B363" s="19" t="s">
        <v>678</v>
      </c>
      <c r="C363" s="19" t="s">
        <v>860</v>
      </c>
      <c r="D363" s="6" t="s">
        <v>74</v>
      </c>
      <c r="E363" s="7" t="s">
        <v>679</v>
      </c>
      <c r="F363" s="37">
        <v>1</v>
      </c>
    </row>
    <row r="364" spans="2:6" x14ac:dyDescent="0.35">
      <c r="B364" s="19" t="s">
        <v>678</v>
      </c>
      <c r="C364" s="19" t="s">
        <v>860</v>
      </c>
      <c r="D364" s="7" t="s">
        <v>138</v>
      </c>
      <c r="E364" s="7" t="s">
        <v>600</v>
      </c>
      <c r="F364" s="37">
        <v>1</v>
      </c>
    </row>
    <row r="365" spans="2:6" x14ac:dyDescent="0.35">
      <c r="B365" s="19" t="s">
        <v>678</v>
      </c>
      <c r="C365" s="19" t="s">
        <v>860</v>
      </c>
      <c r="D365" s="6" t="s">
        <v>176</v>
      </c>
      <c r="E365" s="7" t="s">
        <v>601</v>
      </c>
      <c r="F365" s="37">
        <v>1</v>
      </c>
    </row>
    <row r="366" spans="2:6" x14ac:dyDescent="0.35">
      <c r="B366" s="19" t="s">
        <v>678</v>
      </c>
      <c r="C366" s="19" t="s">
        <v>860</v>
      </c>
      <c r="D366" s="6" t="s">
        <v>178</v>
      </c>
      <c r="E366" s="7" t="s">
        <v>602</v>
      </c>
      <c r="F366" s="37">
        <v>1</v>
      </c>
    </row>
    <row r="367" spans="2:6" x14ac:dyDescent="0.35">
      <c r="B367" s="19" t="s">
        <v>678</v>
      </c>
      <c r="C367" s="19" t="s">
        <v>860</v>
      </c>
      <c r="D367" s="7" t="s">
        <v>224</v>
      </c>
      <c r="E367" s="7" t="s">
        <v>603</v>
      </c>
      <c r="F367" s="37">
        <v>1</v>
      </c>
    </row>
    <row r="368" spans="2:6" x14ac:dyDescent="0.35">
      <c r="B368" s="19" t="s">
        <v>678</v>
      </c>
      <c r="C368" s="19" t="s">
        <v>860</v>
      </c>
      <c r="D368" s="7" t="s">
        <v>226</v>
      </c>
      <c r="E368" s="7" t="s">
        <v>604</v>
      </c>
      <c r="F368" s="37">
        <v>1</v>
      </c>
    </row>
    <row r="369" spans="2:6" x14ac:dyDescent="0.35">
      <c r="B369" s="19" t="s">
        <v>678</v>
      </c>
      <c r="C369" s="19" t="s">
        <v>860</v>
      </c>
      <c r="D369" s="7" t="s">
        <v>284</v>
      </c>
      <c r="E369" s="7" t="s">
        <v>587</v>
      </c>
      <c r="F369" s="37">
        <v>1</v>
      </c>
    </row>
    <row r="370" spans="2:6" x14ac:dyDescent="0.35">
      <c r="B370" s="19" t="s">
        <v>678</v>
      </c>
      <c r="C370" s="19" t="s">
        <v>860</v>
      </c>
      <c r="D370" s="7" t="s">
        <v>294</v>
      </c>
      <c r="E370" s="7" t="s">
        <v>588</v>
      </c>
      <c r="F370" s="37">
        <v>1</v>
      </c>
    </row>
    <row r="371" spans="2:6" x14ac:dyDescent="0.35">
      <c r="B371" s="19" t="s">
        <v>678</v>
      </c>
      <c r="C371" s="19" t="s">
        <v>860</v>
      </c>
      <c r="D371" s="7" t="s">
        <v>306</v>
      </c>
      <c r="E371" s="7" t="s">
        <v>605</v>
      </c>
      <c r="F371" s="37">
        <v>2</v>
      </c>
    </row>
    <row r="372" spans="2:6" x14ac:dyDescent="0.35">
      <c r="B372" s="19" t="s">
        <v>678</v>
      </c>
      <c r="C372" s="19" t="s">
        <v>860</v>
      </c>
      <c r="D372" s="7" t="s">
        <v>332</v>
      </c>
      <c r="E372" s="7" t="s">
        <v>552</v>
      </c>
      <c r="F372" s="37">
        <v>2</v>
      </c>
    </row>
    <row r="373" spans="2:6" x14ac:dyDescent="0.35">
      <c r="B373" s="19" t="s">
        <v>678</v>
      </c>
      <c r="C373" s="19" t="s">
        <v>860</v>
      </c>
      <c r="D373" s="7" t="s">
        <v>340</v>
      </c>
      <c r="E373" s="7" t="s">
        <v>606</v>
      </c>
      <c r="F373" s="37">
        <v>1</v>
      </c>
    </row>
    <row r="374" spans="2:6" x14ac:dyDescent="0.35">
      <c r="B374" s="19" t="s">
        <v>678</v>
      </c>
      <c r="C374" s="19" t="s">
        <v>860</v>
      </c>
      <c r="D374" s="7" t="s">
        <v>348</v>
      </c>
      <c r="E374" s="7" t="s">
        <v>591</v>
      </c>
      <c r="F374" s="37">
        <v>1</v>
      </c>
    </row>
    <row r="375" spans="2:6" x14ac:dyDescent="0.35">
      <c r="B375" s="19" t="s">
        <v>678</v>
      </c>
      <c r="C375" s="19" t="s">
        <v>860</v>
      </c>
      <c r="D375" s="7" t="s">
        <v>358</v>
      </c>
      <c r="E375" s="7" t="s">
        <v>592</v>
      </c>
      <c r="F375" s="37">
        <v>1</v>
      </c>
    </row>
    <row r="376" spans="2:6" x14ac:dyDescent="0.35">
      <c r="B376" s="19" t="s">
        <v>678</v>
      </c>
      <c r="C376" s="19" t="s">
        <v>860</v>
      </c>
      <c r="D376" s="7" t="s">
        <v>360</v>
      </c>
      <c r="E376" s="7" t="s">
        <v>593</v>
      </c>
      <c r="F376" s="37">
        <v>1</v>
      </c>
    </row>
    <row r="377" spans="2:6" x14ac:dyDescent="0.35">
      <c r="B377" s="19" t="s">
        <v>678</v>
      </c>
      <c r="C377" s="19" t="s">
        <v>860</v>
      </c>
      <c r="D377" s="7" t="s">
        <v>364</v>
      </c>
      <c r="E377" s="7" t="s">
        <v>557</v>
      </c>
      <c r="F377" s="37">
        <v>2</v>
      </c>
    </row>
    <row r="378" spans="2:6" x14ac:dyDescent="0.35">
      <c r="B378" s="19" t="s">
        <v>678</v>
      </c>
      <c r="C378" s="19" t="s">
        <v>860</v>
      </c>
      <c r="D378" s="7" t="s">
        <v>370</v>
      </c>
      <c r="E378" s="7" t="s">
        <v>594</v>
      </c>
      <c r="F378" s="37">
        <v>1</v>
      </c>
    </row>
    <row r="379" spans="2:6" x14ac:dyDescent="0.35">
      <c r="B379" s="19" t="s">
        <v>678</v>
      </c>
      <c r="C379" s="19" t="s">
        <v>860</v>
      </c>
      <c r="D379" s="7" t="s">
        <v>372</v>
      </c>
      <c r="E379" s="7" t="s">
        <v>558</v>
      </c>
      <c r="F379" s="37">
        <v>2</v>
      </c>
    </row>
    <row r="380" spans="2:6" x14ac:dyDescent="0.35">
      <c r="B380" s="19" t="s">
        <v>678</v>
      </c>
      <c r="C380" s="19" t="s">
        <v>860</v>
      </c>
      <c r="D380" s="7" t="s">
        <v>382</v>
      </c>
      <c r="E380" s="7" t="s">
        <v>595</v>
      </c>
      <c r="F380" s="37">
        <v>1</v>
      </c>
    </row>
    <row r="381" spans="2:6" x14ac:dyDescent="0.35">
      <c r="B381" s="19" t="s">
        <v>678</v>
      </c>
      <c r="C381" s="19" t="s">
        <v>860</v>
      </c>
      <c r="D381" s="7" t="s">
        <v>480</v>
      </c>
      <c r="E381" s="7" t="s">
        <v>561</v>
      </c>
      <c r="F381" s="37">
        <v>0.01</v>
      </c>
    </row>
    <row r="382" spans="2:6" x14ac:dyDescent="0.35">
      <c r="B382" s="19" t="s">
        <v>678</v>
      </c>
      <c r="C382" s="19" t="s">
        <v>860</v>
      </c>
      <c r="D382" s="7" t="s">
        <v>482</v>
      </c>
      <c r="E382" s="7" t="s">
        <v>562</v>
      </c>
      <c r="F382" s="37">
        <v>1E-3</v>
      </c>
    </row>
    <row r="383" spans="2:6" x14ac:dyDescent="0.35">
      <c r="B383" s="19" t="s">
        <v>678</v>
      </c>
      <c r="C383" s="19" t="s">
        <v>860</v>
      </c>
      <c r="D383" s="7" t="s">
        <v>484</v>
      </c>
      <c r="E383" s="7" t="s">
        <v>563</v>
      </c>
      <c r="F383" s="37">
        <v>2</v>
      </c>
    </row>
    <row r="384" spans="2:6" x14ac:dyDescent="0.35">
      <c r="B384" s="19" t="s">
        <v>680</v>
      </c>
      <c r="C384" s="19" t="s">
        <v>861</v>
      </c>
      <c r="D384" s="6" t="s">
        <v>76</v>
      </c>
      <c r="E384" s="7" t="s">
        <v>681</v>
      </c>
      <c r="F384" s="37">
        <v>1</v>
      </c>
    </row>
    <row r="385" spans="2:6" x14ac:dyDescent="0.35">
      <c r="B385" s="19" t="s">
        <v>680</v>
      </c>
      <c r="C385" s="19" t="s">
        <v>861</v>
      </c>
      <c r="D385" s="7" t="s">
        <v>138</v>
      </c>
      <c r="E385" s="7" t="s">
        <v>600</v>
      </c>
      <c r="F385" s="37">
        <v>1</v>
      </c>
    </row>
    <row r="386" spans="2:6" x14ac:dyDescent="0.35">
      <c r="B386" s="19" t="s">
        <v>680</v>
      </c>
      <c r="C386" s="19" t="s">
        <v>861</v>
      </c>
      <c r="D386" s="6" t="s">
        <v>176</v>
      </c>
      <c r="E386" s="7" t="s">
        <v>601</v>
      </c>
      <c r="F386" s="37">
        <v>1</v>
      </c>
    </row>
    <row r="387" spans="2:6" x14ac:dyDescent="0.35">
      <c r="B387" s="19" t="s">
        <v>680</v>
      </c>
      <c r="C387" s="19" t="s">
        <v>861</v>
      </c>
      <c r="D387" s="6" t="s">
        <v>178</v>
      </c>
      <c r="E387" s="7" t="s">
        <v>602</v>
      </c>
      <c r="F387" s="37">
        <v>1</v>
      </c>
    </row>
    <row r="388" spans="2:6" x14ac:dyDescent="0.35">
      <c r="B388" s="19" t="s">
        <v>680</v>
      </c>
      <c r="C388" s="19" t="s">
        <v>861</v>
      </c>
      <c r="D388" s="7" t="s">
        <v>224</v>
      </c>
      <c r="E388" s="7" t="s">
        <v>603</v>
      </c>
      <c r="F388" s="37">
        <v>1</v>
      </c>
    </row>
    <row r="389" spans="2:6" x14ac:dyDescent="0.35">
      <c r="B389" s="19" t="s">
        <v>680</v>
      </c>
      <c r="C389" s="19" t="s">
        <v>861</v>
      </c>
      <c r="D389" s="7" t="s">
        <v>226</v>
      </c>
      <c r="E389" s="7" t="s">
        <v>604</v>
      </c>
      <c r="F389" s="37">
        <v>1</v>
      </c>
    </row>
    <row r="390" spans="2:6" x14ac:dyDescent="0.35">
      <c r="B390" s="19" t="s">
        <v>680</v>
      </c>
      <c r="C390" s="19" t="s">
        <v>861</v>
      </c>
      <c r="D390" s="7" t="s">
        <v>284</v>
      </c>
      <c r="E390" s="7" t="s">
        <v>587</v>
      </c>
      <c r="F390" s="37">
        <v>1</v>
      </c>
    </row>
    <row r="391" spans="2:6" x14ac:dyDescent="0.35">
      <c r="B391" s="19" t="s">
        <v>680</v>
      </c>
      <c r="C391" s="19" t="s">
        <v>861</v>
      </c>
      <c r="D391" s="7" t="s">
        <v>294</v>
      </c>
      <c r="E391" s="7" t="s">
        <v>588</v>
      </c>
      <c r="F391" s="37">
        <v>1</v>
      </c>
    </row>
    <row r="392" spans="2:6" x14ac:dyDescent="0.35">
      <c r="B392" s="19" t="s">
        <v>680</v>
      </c>
      <c r="C392" s="19" t="s">
        <v>861</v>
      </c>
      <c r="D392" s="7" t="s">
        <v>306</v>
      </c>
      <c r="E392" s="7" t="s">
        <v>605</v>
      </c>
      <c r="F392" s="37">
        <v>2</v>
      </c>
    </row>
    <row r="393" spans="2:6" x14ac:dyDescent="0.35">
      <c r="B393" s="19" t="s">
        <v>680</v>
      </c>
      <c r="C393" s="19" t="s">
        <v>861</v>
      </c>
      <c r="D393" s="7" t="s">
        <v>332</v>
      </c>
      <c r="E393" s="7" t="s">
        <v>552</v>
      </c>
      <c r="F393" s="37">
        <v>2</v>
      </c>
    </row>
    <row r="394" spans="2:6" x14ac:dyDescent="0.35">
      <c r="B394" s="19" t="s">
        <v>680</v>
      </c>
      <c r="C394" s="19" t="s">
        <v>861</v>
      </c>
      <c r="D394" s="7" t="s">
        <v>340</v>
      </c>
      <c r="E394" s="7" t="s">
        <v>606</v>
      </c>
      <c r="F394" s="37">
        <v>1</v>
      </c>
    </row>
    <row r="395" spans="2:6" x14ac:dyDescent="0.35">
      <c r="B395" s="19" t="s">
        <v>680</v>
      </c>
      <c r="C395" s="19" t="s">
        <v>861</v>
      </c>
      <c r="D395" s="7" t="s">
        <v>348</v>
      </c>
      <c r="E395" s="7" t="s">
        <v>591</v>
      </c>
      <c r="F395" s="37">
        <v>1</v>
      </c>
    </row>
    <row r="396" spans="2:6" x14ac:dyDescent="0.35">
      <c r="B396" s="19" t="s">
        <v>680</v>
      </c>
      <c r="C396" s="19" t="s">
        <v>861</v>
      </c>
      <c r="D396" s="7" t="s">
        <v>358</v>
      </c>
      <c r="E396" s="7" t="s">
        <v>592</v>
      </c>
      <c r="F396" s="37">
        <v>1</v>
      </c>
    </row>
    <row r="397" spans="2:6" x14ac:dyDescent="0.35">
      <c r="B397" s="19" t="s">
        <v>680</v>
      </c>
      <c r="C397" s="19" t="s">
        <v>861</v>
      </c>
      <c r="D397" s="7" t="s">
        <v>360</v>
      </c>
      <c r="E397" s="7" t="s">
        <v>593</v>
      </c>
      <c r="F397" s="37">
        <v>1</v>
      </c>
    </row>
    <row r="398" spans="2:6" x14ac:dyDescent="0.35">
      <c r="B398" s="19" t="s">
        <v>680</v>
      </c>
      <c r="C398" s="19" t="s">
        <v>861</v>
      </c>
      <c r="D398" s="7" t="s">
        <v>364</v>
      </c>
      <c r="E398" s="7" t="s">
        <v>557</v>
      </c>
      <c r="F398" s="37">
        <v>2</v>
      </c>
    </row>
    <row r="399" spans="2:6" x14ac:dyDescent="0.35">
      <c r="B399" s="19" t="s">
        <v>680</v>
      </c>
      <c r="C399" s="19" t="s">
        <v>861</v>
      </c>
      <c r="D399" s="7" t="s">
        <v>370</v>
      </c>
      <c r="E399" s="7" t="s">
        <v>594</v>
      </c>
      <c r="F399" s="37">
        <v>1</v>
      </c>
    </row>
    <row r="400" spans="2:6" x14ac:dyDescent="0.35">
      <c r="B400" s="19" t="s">
        <v>680</v>
      </c>
      <c r="C400" s="19" t="s">
        <v>861</v>
      </c>
      <c r="D400" s="7" t="s">
        <v>372</v>
      </c>
      <c r="E400" s="7" t="s">
        <v>558</v>
      </c>
      <c r="F400" s="37">
        <v>2</v>
      </c>
    </row>
    <row r="401" spans="2:6" x14ac:dyDescent="0.35">
      <c r="B401" s="19" t="s">
        <v>680</v>
      </c>
      <c r="C401" s="19" t="s">
        <v>861</v>
      </c>
      <c r="D401" s="7" t="s">
        <v>382</v>
      </c>
      <c r="E401" s="7" t="s">
        <v>595</v>
      </c>
      <c r="F401" s="37">
        <v>1</v>
      </c>
    </row>
    <row r="402" spans="2:6" x14ac:dyDescent="0.35">
      <c r="B402" s="19" t="s">
        <v>680</v>
      </c>
      <c r="C402" s="19" t="s">
        <v>861</v>
      </c>
      <c r="D402" s="7" t="s">
        <v>480</v>
      </c>
      <c r="E402" s="7" t="s">
        <v>561</v>
      </c>
      <c r="F402" s="37">
        <v>0.01</v>
      </c>
    </row>
    <row r="403" spans="2:6" x14ac:dyDescent="0.35">
      <c r="B403" s="19" t="s">
        <v>680</v>
      </c>
      <c r="C403" s="19" t="s">
        <v>861</v>
      </c>
      <c r="D403" s="7" t="s">
        <v>482</v>
      </c>
      <c r="E403" s="7" t="s">
        <v>562</v>
      </c>
      <c r="F403" s="37">
        <v>1E-3</v>
      </c>
    </row>
    <row r="404" spans="2:6" x14ac:dyDescent="0.35">
      <c r="B404" s="19" t="s">
        <v>680</v>
      </c>
      <c r="C404" s="19" t="s">
        <v>861</v>
      </c>
      <c r="D404" s="7" t="s">
        <v>484</v>
      </c>
      <c r="E404" s="7" t="s">
        <v>563</v>
      </c>
      <c r="F404" s="37">
        <v>2</v>
      </c>
    </row>
    <row r="405" spans="2:6" x14ac:dyDescent="0.35">
      <c r="B405" s="19" t="s">
        <v>682</v>
      </c>
      <c r="C405" s="19" t="s">
        <v>862</v>
      </c>
      <c r="D405" s="6" t="s">
        <v>78</v>
      </c>
      <c r="E405" s="7" t="s">
        <v>683</v>
      </c>
      <c r="F405" s="37">
        <v>1</v>
      </c>
    </row>
    <row r="406" spans="2:6" x14ac:dyDescent="0.35">
      <c r="B406" s="19" t="s">
        <v>682</v>
      </c>
      <c r="C406" s="19" t="s">
        <v>862</v>
      </c>
      <c r="D406" s="7" t="s">
        <v>140</v>
      </c>
      <c r="E406" s="7" t="s">
        <v>609</v>
      </c>
      <c r="F406" s="37">
        <v>1</v>
      </c>
    </row>
    <row r="407" spans="2:6" x14ac:dyDescent="0.35">
      <c r="B407" s="19" t="s">
        <v>682</v>
      </c>
      <c r="C407" s="19" t="s">
        <v>862</v>
      </c>
      <c r="D407" s="6" t="s">
        <v>180</v>
      </c>
      <c r="E407" s="7" t="s">
        <v>610</v>
      </c>
      <c r="F407" s="37">
        <v>1</v>
      </c>
    </row>
    <row r="408" spans="2:6" x14ac:dyDescent="0.35">
      <c r="B408" s="19" t="s">
        <v>682</v>
      </c>
      <c r="C408" s="19" t="s">
        <v>862</v>
      </c>
      <c r="D408" s="6" t="s">
        <v>182</v>
      </c>
      <c r="E408" s="7" t="s">
        <v>611</v>
      </c>
      <c r="F408" s="37">
        <v>1</v>
      </c>
    </row>
    <row r="409" spans="2:6" x14ac:dyDescent="0.35">
      <c r="B409" s="19" t="s">
        <v>682</v>
      </c>
      <c r="C409" s="19" t="s">
        <v>862</v>
      </c>
      <c r="D409" s="7" t="s">
        <v>228</v>
      </c>
      <c r="E409" s="7" t="s">
        <v>612</v>
      </c>
      <c r="F409" s="37">
        <v>1</v>
      </c>
    </row>
    <row r="410" spans="2:6" x14ac:dyDescent="0.35">
      <c r="B410" s="19" t="s">
        <v>682</v>
      </c>
      <c r="C410" s="19" t="s">
        <v>862</v>
      </c>
      <c r="D410" s="7" t="s">
        <v>230</v>
      </c>
      <c r="E410" s="7" t="s">
        <v>613</v>
      </c>
      <c r="F410" s="37">
        <v>1</v>
      </c>
    </row>
    <row r="411" spans="2:6" x14ac:dyDescent="0.35">
      <c r="B411" s="19" t="s">
        <v>682</v>
      </c>
      <c r="C411" s="19" t="s">
        <v>862</v>
      </c>
      <c r="D411" s="7" t="s">
        <v>284</v>
      </c>
      <c r="E411" s="7" t="s">
        <v>587</v>
      </c>
      <c r="F411" s="37">
        <v>1</v>
      </c>
    </row>
    <row r="412" spans="2:6" x14ac:dyDescent="0.35">
      <c r="B412" s="19" t="s">
        <v>682</v>
      </c>
      <c r="C412" s="19" t="s">
        <v>862</v>
      </c>
      <c r="D412" s="7" t="s">
        <v>294</v>
      </c>
      <c r="E412" s="7" t="s">
        <v>588</v>
      </c>
      <c r="F412" s="37">
        <v>1</v>
      </c>
    </row>
    <row r="413" spans="2:6" x14ac:dyDescent="0.35">
      <c r="B413" s="19" t="s">
        <v>682</v>
      </c>
      <c r="C413" s="19" t="s">
        <v>862</v>
      </c>
      <c r="D413" s="7" t="s">
        <v>308</v>
      </c>
      <c r="E413" s="7" t="s">
        <v>614</v>
      </c>
      <c r="F413" s="37">
        <v>2</v>
      </c>
    </row>
    <row r="414" spans="2:6" x14ac:dyDescent="0.35">
      <c r="B414" s="19" t="s">
        <v>682</v>
      </c>
      <c r="C414" s="19" t="s">
        <v>862</v>
      </c>
      <c r="D414" s="7" t="s">
        <v>332</v>
      </c>
      <c r="E414" s="7" t="s">
        <v>552</v>
      </c>
      <c r="F414" s="37">
        <v>2</v>
      </c>
    </row>
    <row r="415" spans="2:6" x14ac:dyDescent="0.35">
      <c r="B415" s="19" t="s">
        <v>682</v>
      </c>
      <c r="C415" s="19" t="s">
        <v>862</v>
      </c>
      <c r="D415" s="7" t="s">
        <v>340</v>
      </c>
      <c r="E415" s="7" t="s">
        <v>606</v>
      </c>
      <c r="F415" s="37">
        <v>1</v>
      </c>
    </row>
    <row r="416" spans="2:6" x14ac:dyDescent="0.35">
      <c r="B416" s="19" t="s">
        <v>682</v>
      </c>
      <c r="C416" s="19" t="s">
        <v>862</v>
      </c>
      <c r="D416" s="7" t="s">
        <v>348</v>
      </c>
      <c r="E416" s="7" t="s">
        <v>591</v>
      </c>
      <c r="F416" s="37">
        <v>1</v>
      </c>
    </row>
    <row r="417" spans="2:6" x14ac:dyDescent="0.35">
      <c r="B417" s="19" t="s">
        <v>682</v>
      </c>
      <c r="C417" s="19" t="s">
        <v>862</v>
      </c>
      <c r="D417" s="7" t="s">
        <v>358</v>
      </c>
      <c r="E417" s="7" t="s">
        <v>592</v>
      </c>
      <c r="F417" s="37">
        <v>1</v>
      </c>
    </row>
    <row r="418" spans="2:6" x14ac:dyDescent="0.35">
      <c r="B418" s="19" t="s">
        <v>682</v>
      </c>
      <c r="C418" s="19" t="s">
        <v>862</v>
      </c>
      <c r="D418" s="7" t="s">
        <v>360</v>
      </c>
      <c r="E418" s="7" t="s">
        <v>593</v>
      </c>
      <c r="F418" s="37">
        <v>1</v>
      </c>
    </row>
    <row r="419" spans="2:6" x14ac:dyDescent="0.35">
      <c r="B419" s="19" t="s">
        <v>682</v>
      </c>
      <c r="C419" s="19" t="s">
        <v>862</v>
      </c>
      <c r="D419" s="7" t="s">
        <v>364</v>
      </c>
      <c r="E419" s="7" t="s">
        <v>557</v>
      </c>
      <c r="F419" s="37">
        <v>2</v>
      </c>
    </row>
    <row r="420" spans="2:6" x14ac:dyDescent="0.35">
      <c r="B420" s="19" t="s">
        <v>682</v>
      </c>
      <c r="C420" s="19" t="s">
        <v>862</v>
      </c>
      <c r="D420" s="7" t="s">
        <v>370</v>
      </c>
      <c r="E420" s="7" t="s">
        <v>594</v>
      </c>
      <c r="F420" s="37">
        <v>1</v>
      </c>
    </row>
    <row r="421" spans="2:6" x14ac:dyDescent="0.35">
      <c r="B421" s="19" t="s">
        <v>682</v>
      </c>
      <c r="C421" s="19" t="s">
        <v>862</v>
      </c>
      <c r="D421" s="7" t="s">
        <v>372</v>
      </c>
      <c r="E421" s="7" t="s">
        <v>558</v>
      </c>
      <c r="F421" s="37">
        <v>2</v>
      </c>
    </row>
    <row r="422" spans="2:6" x14ac:dyDescent="0.35">
      <c r="B422" s="19" t="s">
        <v>682</v>
      </c>
      <c r="C422" s="19" t="s">
        <v>862</v>
      </c>
      <c r="D422" s="7" t="s">
        <v>382</v>
      </c>
      <c r="E422" s="7" t="s">
        <v>595</v>
      </c>
      <c r="F422" s="37">
        <v>1</v>
      </c>
    </row>
    <row r="423" spans="2:6" x14ac:dyDescent="0.35">
      <c r="B423" s="19" t="s">
        <v>682</v>
      </c>
      <c r="C423" s="19" t="s">
        <v>862</v>
      </c>
      <c r="D423" s="7" t="s">
        <v>480</v>
      </c>
      <c r="E423" s="7" t="s">
        <v>561</v>
      </c>
      <c r="F423" s="37">
        <v>0.01</v>
      </c>
    </row>
    <row r="424" spans="2:6" x14ac:dyDescent="0.35">
      <c r="B424" s="19" t="s">
        <v>682</v>
      </c>
      <c r="C424" s="19" t="s">
        <v>862</v>
      </c>
      <c r="D424" s="7" t="s">
        <v>482</v>
      </c>
      <c r="E424" s="7" t="s">
        <v>562</v>
      </c>
      <c r="F424" s="37">
        <v>1E-3</v>
      </c>
    </row>
    <row r="425" spans="2:6" x14ac:dyDescent="0.35">
      <c r="B425" s="19" t="s">
        <v>682</v>
      </c>
      <c r="C425" s="19" t="s">
        <v>862</v>
      </c>
      <c r="D425" s="7" t="s">
        <v>484</v>
      </c>
      <c r="E425" s="7" t="s">
        <v>563</v>
      </c>
      <c r="F425" s="37">
        <v>2</v>
      </c>
    </row>
    <row r="426" spans="2:6" x14ac:dyDescent="0.35">
      <c r="B426" s="19" t="s">
        <v>684</v>
      </c>
      <c r="C426" s="19" t="s">
        <v>863</v>
      </c>
      <c r="D426" s="6" t="s">
        <v>82</v>
      </c>
      <c r="E426" s="7" t="s">
        <v>685</v>
      </c>
      <c r="F426" s="37">
        <v>1</v>
      </c>
    </row>
    <row r="427" spans="2:6" x14ac:dyDescent="0.35">
      <c r="B427" s="19" t="s">
        <v>684</v>
      </c>
      <c r="C427" s="19" t="s">
        <v>863</v>
      </c>
      <c r="D427" s="7" t="s">
        <v>142</v>
      </c>
      <c r="E427" s="7" t="s">
        <v>617</v>
      </c>
      <c r="F427" s="37">
        <v>1</v>
      </c>
    </row>
    <row r="428" spans="2:6" x14ac:dyDescent="0.35">
      <c r="B428" s="19" t="s">
        <v>684</v>
      </c>
      <c r="C428" s="19" t="s">
        <v>863</v>
      </c>
      <c r="D428" s="6" t="s">
        <v>192</v>
      </c>
      <c r="E428" s="7" t="s">
        <v>618</v>
      </c>
      <c r="F428" s="37">
        <v>1</v>
      </c>
    </row>
    <row r="429" spans="2:6" x14ac:dyDescent="0.35">
      <c r="B429" s="19" t="s">
        <v>684</v>
      </c>
      <c r="C429" s="19" t="s">
        <v>863</v>
      </c>
      <c r="D429" s="6" t="s">
        <v>194</v>
      </c>
      <c r="E429" s="7" t="s">
        <v>619</v>
      </c>
      <c r="F429" s="37">
        <v>1</v>
      </c>
    </row>
    <row r="430" spans="2:6" x14ac:dyDescent="0.35">
      <c r="B430" s="19" t="s">
        <v>684</v>
      </c>
      <c r="C430" s="19" t="s">
        <v>863</v>
      </c>
      <c r="D430" s="7" t="s">
        <v>236</v>
      </c>
      <c r="E430" s="7" t="s">
        <v>620</v>
      </c>
      <c r="F430" s="37">
        <v>1</v>
      </c>
    </row>
    <row r="431" spans="2:6" x14ac:dyDescent="0.35">
      <c r="B431" s="19" t="s">
        <v>684</v>
      </c>
      <c r="C431" s="19" t="s">
        <v>863</v>
      </c>
      <c r="D431" s="7" t="s">
        <v>238</v>
      </c>
      <c r="E431" s="7" t="s">
        <v>621</v>
      </c>
      <c r="F431" s="37">
        <v>1</v>
      </c>
    </row>
    <row r="432" spans="2:6" x14ac:dyDescent="0.35">
      <c r="B432" s="19" t="s">
        <v>684</v>
      </c>
      <c r="C432" s="19" t="s">
        <v>863</v>
      </c>
      <c r="D432" s="7" t="s">
        <v>284</v>
      </c>
      <c r="E432" s="7" t="s">
        <v>587</v>
      </c>
      <c r="F432" s="37">
        <v>1</v>
      </c>
    </row>
    <row r="433" spans="2:6" x14ac:dyDescent="0.35">
      <c r="B433" s="19" t="s">
        <v>684</v>
      </c>
      <c r="C433" s="19" t="s">
        <v>863</v>
      </c>
      <c r="D433" s="7" t="s">
        <v>294</v>
      </c>
      <c r="E433" s="7" t="s">
        <v>588</v>
      </c>
      <c r="F433" s="37">
        <v>1</v>
      </c>
    </row>
    <row r="434" spans="2:6" x14ac:dyDescent="0.35">
      <c r="B434" s="19" t="s">
        <v>684</v>
      </c>
      <c r="C434" s="19" t="s">
        <v>863</v>
      </c>
      <c r="D434" s="7" t="s">
        <v>310</v>
      </c>
      <c r="E434" s="7" t="s">
        <v>622</v>
      </c>
      <c r="F434" s="37">
        <v>2</v>
      </c>
    </row>
    <row r="435" spans="2:6" x14ac:dyDescent="0.35">
      <c r="B435" s="19" t="s">
        <v>684</v>
      </c>
      <c r="C435" s="19" t="s">
        <v>863</v>
      </c>
      <c r="D435" s="7" t="s">
        <v>332</v>
      </c>
      <c r="E435" s="7" t="s">
        <v>552</v>
      </c>
      <c r="F435" s="37">
        <v>2</v>
      </c>
    </row>
    <row r="436" spans="2:6" x14ac:dyDescent="0.35">
      <c r="B436" s="19" t="s">
        <v>684</v>
      </c>
      <c r="C436" s="19" t="s">
        <v>863</v>
      </c>
      <c r="D436" s="7" t="s">
        <v>340</v>
      </c>
      <c r="E436" s="7" t="s">
        <v>606</v>
      </c>
      <c r="F436" s="37">
        <v>1</v>
      </c>
    </row>
    <row r="437" spans="2:6" x14ac:dyDescent="0.35">
      <c r="B437" s="19" t="s">
        <v>684</v>
      </c>
      <c r="C437" s="19" t="s">
        <v>863</v>
      </c>
      <c r="D437" s="7" t="s">
        <v>348</v>
      </c>
      <c r="E437" s="7" t="s">
        <v>591</v>
      </c>
      <c r="F437" s="37">
        <v>1</v>
      </c>
    </row>
    <row r="438" spans="2:6" x14ac:dyDescent="0.35">
      <c r="B438" s="19" t="s">
        <v>684</v>
      </c>
      <c r="C438" s="19" t="s">
        <v>863</v>
      </c>
      <c r="D438" s="7" t="s">
        <v>358</v>
      </c>
      <c r="E438" s="7" t="s">
        <v>592</v>
      </c>
      <c r="F438" s="37">
        <v>1</v>
      </c>
    </row>
    <row r="439" spans="2:6" x14ac:dyDescent="0.35">
      <c r="B439" s="19" t="s">
        <v>684</v>
      </c>
      <c r="C439" s="19" t="s">
        <v>863</v>
      </c>
      <c r="D439" s="7" t="s">
        <v>360</v>
      </c>
      <c r="E439" s="7" t="s">
        <v>593</v>
      </c>
      <c r="F439" s="37">
        <v>1</v>
      </c>
    </row>
    <row r="440" spans="2:6" x14ac:dyDescent="0.35">
      <c r="B440" s="19" t="s">
        <v>684</v>
      </c>
      <c r="C440" s="19" t="s">
        <v>863</v>
      </c>
      <c r="D440" s="7" t="s">
        <v>364</v>
      </c>
      <c r="E440" s="7" t="s">
        <v>557</v>
      </c>
      <c r="F440" s="37">
        <v>2</v>
      </c>
    </row>
    <row r="441" spans="2:6" x14ac:dyDescent="0.35">
      <c r="B441" s="19" t="s">
        <v>684</v>
      </c>
      <c r="C441" s="19" t="s">
        <v>863</v>
      </c>
      <c r="D441" s="7" t="s">
        <v>370</v>
      </c>
      <c r="E441" s="7" t="s">
        <v>594</v>
      </c>
      <c r="F441" s="37">
        <v>1</v>
      </c>
    </row>
    <row r="442" spans="2:6" x14ac:dyDescent="0.35">
      <c r="B442" s="19" t="s">
        <v>684</v>
      </c>
      <c r="C442" s="19" t="s">
        <v>863</v>
      </c>
      <c r="D442" s="7" t="s">
        <v>372</v>
      </c>
      <c r="E442" s="7" t="s">
        <v>558</v>
      </c>
      <c r="F442" s="37">
        <v>2</v>
      </c>
    </row>
    <row r="443" spans="2:6" x14ac:dyDescent="0.35">
      <c r="B443" s="19" t="s">
        <v>684</v>
      </c>
      <c r="C443" s="19" t="s">
        <v>863</v>
      </c>
      <c r="D443" s="7" t="s">
        <v>382</v>
      </c>
      <c r="E443" s="7" t="s">
        <v>595</v>
      </c>
      <c r="F443" s="37">
        <v>1</v>
      </c>
    </row>
    <row r="444" spans="2:6" x14ac:dyDescent="0.35">
      <c r="B444" s="19" t="s">
        <v>684</v>
      </c>
      <c r="C444" s="19" t="s">
        <v>863</v>
      </c>
      <c r="D444" s="7" t="s">
        <v>480</v>
      </c>
      <c r="E444" s="7" t="s">
        <v>561</v>
      </c>
      <c r="F444" s="37">
        <v>0.01</v>
      </c>
    </row>
    <row r="445" spans="2:6" x14ac:dyDescent="0.35">
      <c r="B445" s="19" t="s">
        <v>684</v>
      </c>
      <c r="C445" s="19" t="s">
        <v>863</v>
      </c>
      <c r="D445" s="7" t="s">
        <v>482</v>
      </c>
      <c r="E445" s="7" t="s">
        <v>562</v>
      </c>
      <c r="F445" s="37">
        <v>1E-3</v>
      </c>
    </row>
    <row r="446" spans="2:6" x14ac:dyDescent="0.35">
      <c r="B446" s="19" t="s">
        <v>684</v>
      </c>
      <c r="C446" s="19" t="s">
        <v>863</v>
      </c>
      <c r="D446" s="7" t="s">
        <v>484</v>
      </c>
      <c r="E446" s="7" t="s">
        <v>563</v>
      </c>
      <c r="F446" s="37">
        <v>2</v>
      </c>
    </row>
    <row r="447" spans="2:6" x14ac:dyDescent="0.35">
      <c r="B447" s="19" t="s">
        <v>686</v>
      </c>
      <c r="C447" s="19" t="s">
        <v>864</v>
      </c>
      <c r="D447" s="7" t="s">
        <v>9</v>
      </c>
      <c r="E447" s="7" t="s">
        <v>624</v>
      </c>
      <c r="F447" s="37">
        <v>2</v>
      </c>
    </row>
    <row r="448" spans="2:6" x14ac:dyDescent="0.35">
      <c r="B448" s="19" t="s">
        <v>686</v>
      </c>
      <c r="C448" s="19" t="s">
        <v>864</v>
      </c>
      <c r="D448" s="6" t="s">
        <v>80</v>
      </c>
      <c r="E448" s="7" t="s">
        <v>687</v>
      </c>
      <c r="F448" s="37">
        <v>1</v>
      </c>
    </row>
    <row r="449" spans="2:6" x14ac:dyDescent="0.35">
      <c r="B449" s="19" t="s">
        <v>686</v>
      </c>
      <c r="C449" s="19" t="s">
        <v>864</v>
      </c>
      <c r="D449" s="7" t="s">
        <v>144</v>
      </c>
      <c r="E449" s="7" t="s">
        <v>626</v>
      </c>
      <c r="F449" s="37">
        <v>1</v>
      </c>
    </row>
    <row r="450" spans="2:6" x14ac:dyDescent="0.35">
      <c r="B450" s="19" t="s">
        <v>686</v>
      </c>
      <c r="C450" s="19" t="s">
        <v>864</v>
      </c>
      <c r="D450" s="6" t="s">
        <v>188</v>
      </c>
      <c r="E450" s="7" t="s">
        <v>627</v>
      </c>
      <c r="F450" s="37">
        <v>1</v>
      </c>
    </row>
    <row r="451" spans="2:6" x14ac:dyDescent="0.35">
      <c r="B451" s="19" t="s">
        <v>686</v>
      </c>
      <c r="C451" s="19" t="s">
        <v>864</v>
      </c>
      <c r="D451" s="6" t="s">
        <v>190</v>
      </c>
      <c r="E451" s="7" t="s">
        <v>628</v>
      </c>
      <c r="F451" s="37">
        <v>1</v>
      </c>
    </row>
    <row r="452" spans="2:6" x14ac:dyDescent="0.35">
      <c r="B452" s="19" t="s">
        <v>686</v>
      </c>
      <c r="C452" s="19" t="s">
        <v>864</v>
      </c>
      <c r="D452" s="7" t="s">
        <v>232</v>
      </c>
      <c r="E452" s="7" t="s">
        <v>629</v>
      </c>
      <c r="F452" s="37">
        <v>1</v>
      </c>
    </row>
    <row r="453" spans="2:6" x14ac:dyDescent="0.35">
      <c r="B453" s="19" t="s">
        <v>686</v>
      </c>
      <c r="C453" s="19" t="s">
        <v>864</v>
      </c>
      <c r="D453" s="7" t="s">
        <v>234</v>
      </c>
      <c r="E453" s="7" t="s">
        <v>630</v>
      </c>
      <c r="F453" s="37">
        <v>1</v>
      </c>
    </row>
    <row r="454" spans="2:6" x14ac:dyDescent="0.35">
      <c r="B454" s="19" t="s">
        <v>686</v>
      </c>
      <c r="C454" s="19" t="s">
        <v>864</v>
      </c>
      <c r="D454" s="7" t="s">
        <v>280</v>
      </c>
      <c r="E454" s="7" t="s">
        <v>631</v>
      </c>
      <c r="F454" s="37">
        <v>2</v>
      </c>
    </row>
    <row r="455" spans="2:6" x14ac:dyDescent="0.35">
      <c r="B455" s="19" t="s">
        <v>686</v>
      </c>
      <c r="C455" s="19" t="s">
        <v>864</v>
      </c>
      <c r="D455" s="7" t="s">
        <v>290</v>
      </c>
      <c r="E455" s="7" t="s">
        <v>632</v>
      </c>
      <c r="F455" s="37">
        <v>2</v>
      </c>
    </row>
    <row r="456" spans="2:6" x14ac:dyDescent="0.35">
      <c r="B456" s="19" t="s">
        <v>686</v>
      </c>
      <c r="C456" s="19" t="s">
        <v>864</v>
      </c>
      <c r="D456" s="7" t="s">
        <v>312</v>
      </c>
      <c r="E456" s="7" t="s">
        <v>633</v>
      </c>
      <c r="F456" s="37">
        <v>2</v>
      </c>
    </row>
    <row r="457" spans="2:6" x14ac:dyDescent="0.35">
      <c r="B457" s="19" t="s">
        <v>686</v>
      </c>
      <c r="C457" s="19" t="s">
        <v>864</v>
      </c>
      <c r="D457" s="7" t="s">
        <v>336</v>
      </c>
      <c r="E457" s="7" t="s">
        <v>634</v>
      </c>
      <c r="F457" s="37">
        <v>2</v>
      </c>
    </row>
    <row r="458" spans="2:6" x14ac:dyDescent="0.35">
      <c r="B458" s="19" t="s">
        <v>686</v>
      </c>
      <c r="C458" s="19" t="s">
        <v>864</v>
      </c>
      <c r="D458" s="7" t="s">
        <v>342</v>
      </c>
      <c r="E458" s="7" t="s">
        <v>635</v>
      </c>
      <c r="F458" s="37">
        <v>2</v>
      </c>
    </row>
    <row r="459" spans="2:6" x14ac:dyDescent="0.35">
      <c r="B459" s="19" t="s">
        <v>686</v>
      </c>
      <c r="C459" s="19" t="s">
        <v>864</v>
      </c>
      <c r="D459" s="7" t="s">
        <v>348</v>
      </c>
      <c r="E459" s="7" t="s">
        <v>591</v>
      </c>
      <c r="F459" s="37">
        <v>1</v>
      </c>
    </row>
    <row r="460" spans="2:6" x14ac:dyDescent="0.35">
      <c r="B460" s="19" t="s">
        <v>686</v>
      </c>
      <c r="C460" s="19" t="s">
        <v>864</v>
      </c>
      <c r="D460" s="7" t="s">
        <v>358</v>
      </c>
      <c r="E460" s="7" t="s">
        <v>592</v>
      </c>
      <c r="F460" s="37">
        <v>2</v>
      </c>
    </row>
    <row r="461" spans="2:6" x14ac:dyDescent="0.35">
      <c r="B461" s="19" t="s">
        <v>686</v>
      </c>
      <c r="C461" s="19" t="s">
        <v>864</v>
      </c>
      <c r="D461" s="7" t="s">
        <v>360</v>
      </c>
      <c r="E461" s="7" t="s">
        <v>593</v>
      </c>
      <c r="F461" s="37">
        <v>1</v>
      </c>
    </row>
    <row r="462" spans="2:6" x14ac:dyDescent="0.35">
      <c r="B462" s="19" t="s">
        <v>686</v>
      </c>
      <c r="C462" s="19" t="s">
        <v>864</v>
      </c>
      <c r="D462" s="7" t="s">
        <v>366</v>
      </c>
      <c r="E462" s="7" t="s">
        <v>636</v>
      </c>
      <c r="F462" s="37">
        <v>2</v>
      </c>
    </row>
    <row r="463" spans="2:6" x14ac:dyDescent="0.35">
      <c r="B463" s="19" t="s">
        <v>686</v>
      </c>
      <c r="C463" s="19" t="s">
        <v>864</v>
      </c>
      <c r="D463" s="7" t="s">
        <v>370</v>
      </c>
      <c r="E463" s="7" t="s">
        <v>594</v>
      </c>
      <c r="F463" s="37">
        <v>1</v>
      </c>
    </row>
    <row r="464" spans="2:6" x14ac:dyDescent="0.35">
      <c r="B464" s="19" t="s">
        <v>686</v>
      </c>
      <c r="C464" s="19" t="s">
        <v>864</v>
      </c>
      <c r="D464" s="7" t="s">
        <v>374</v>
      </c>
      <c r="E464" s="7" t="s">
        <v>637</v>
      </c>
      <c r="F464" s="37">
        <v>2</v>
      </c>
    </row>
    <row r="465" spans="2:6" x14ac:dyDescent="0.35">
      <c r="B465" s="19" t="s">
        <v>686</v>
      </c>
      <c r="C465" s="19" t="s">
        <v>864</v>
      </c>
      <c r="D465" s="7" t="s">
        <v>382</v>
      </c>
      <c r="E465" s="7" t="s">
        <v>595</v>
      </c>
      <c r="F465" s="37">
        <v>2</v>
      </c>
    </row>
    <row r="466" spans="2:6" x14ac:dyDescent="0.35">
      <c r="B466" s="19" t="s">
        <v>686</v>
      </c>
      <c r="C466" s="19" t="s">
        <v>864</v>
      </c>
      <c r="D466" s="7" t="s">
        <v>480</v>
      </c>
      <c r="E466" s="7" t="s">
        <v>561</v>
      </c>
      <c r="F466" s="37">
        <v>0.01</v>
      </c>
    </row>
    <row r="467" spans="2:6" x14ac:dyDescent="0.35">
      <c r="B467" s="19" t="s">
        <v>686</v>
      </c>
      <c r="C467" s="19" t="s">
        <v>864</v>
      </c>
      <c r="D467" s="7" t="s">
        <v>482</v>
      </c>
      <c r="E467" s="7" t="s">
        <v>562</v>
      </c>
      <c r="F467" s="37">
        <v>1E-3</v>
      </c>
    </row>
    <row r="468" spans="2:6" x14ac:dyDescent="0.35">
      <c r="B468" s="19" t="s">
        <v>686</v>
      </c>
      <c r="C468" s="19" t="s">
        <v>864</v>
      </c>
      <c r="D468" s="7" t="s">
        <v>486</v>
      </c>
      <c r="E468" s="7" t="s">
        <v>638</v>
      </c>
      <c r="F468" s="37">
        <v>2</v>
      </c>
    </row>
    <row r="469" spans="2:6" x14ac:dyDescent="0.35">
      <c r="B469" s="19" t="s">
        <v>688</v>
      </c>
      <c r="C469" s="19" t="s">
        <v>865</v>
      </c>
      <c r="D469" s="7" t="s">
        <v>9</v>
      </c>
      <c r="E469" s="7" t="s">
        <v>624</v>
      </c>
      <c r="F469" s="37">
        <v>2</v>
      </c>
    </row>
    <row r="470" spans="2:6" x14ac:dyDescent="0.35">
      <c r="B470" s="19" t="s">
        <v>688</v>
      </c>
      <c r="C470" s="19" t="s">
        <v>865</v>
      </c>
      <c r="D470" s="6" t="s">
        <v>84</v>
      </c>
      <c r="E470" s="7" t="s">
        <v>689</v>
      </c>
      <c r="F470" s="37">
        <v>1</v>
      </c>
    </row>
    <row r="471" spans="2:6" x14ac:dyDescent="0.35">
      <c r="B471" s="19" t="s">
        <v>688</v>
      </c>
      <c r="C471" s="19" t="s">
        <v>865</v>
      </c>
      <c r="D471" s="7" t="s">
        <v>146</v>
      </c>
      <c r="E471" s="7" t="s">
        <v>641</v>
      </c>
      <c r="F471" s="37">
        <v>1</v>
      </c>
    </row>
    <row r="472" spans="2:6" x14ac:dyDescent="0.35">
      <c r="B472" s="19" t="s">
        <v>688</v>
      </c>
      <c r="C472" s="19" t="s">
        <v>865</v>
      </c>
      <c r="D472" s="6" t="s">
        <v>196</v>
      </c>
      <c r="E472" s="7" t="s">
        <v>642</v>
      </c>
      <c r="F472" s="37">
        <v>1</v>
      </c>
    </row>
    <row r="473" spans="2:6" x14ac:dyDescent="0.35">
      <c r="B473" s="19" t="s">
        <v>688</v>
      </c>
      <c r="C473" s="19" t="s">
        <v>865</v>
      </c>
      <c r="D473" s="6" t="s">
        <v>198</v>
      </c>
      <c r="E473" s="7" t="s">
        <v>643</v>
      </c>
      <c r="F473" s="37">
        <v>1</v>
      </c>
    </row>
    <row r="474" spans="2:6" x14ac:dyDescent="0.35">
      <c r="B474" s="19" t="s">
        <v>688</v>
      </c>
      <c r="C474" s="19" t="s">
        <v>865</v>
      </c>
      <c r="D474" s="7" t="s">
        <v>240</v>
      </c>
      <c r="E474" s="7" t="s">
        <v>644</v>
      </c>
      <c r="F474" s="37">
        <v>1</v>
      </c>
    </row>
    <row r="475" spans="2:6" x14ac:dyDescent="0.35">
      <c r="B475" s="19" t="s">
        <v>688</v>
      </c>
      <c r="C475" s="19" t="s">
        <v>865</v>
      </c>
      <c r="D475" s="7" t="s">
        <v>242</v>
      </c>
      <c r="E475" s="7" t="s">
        <v>645</v>
      </c>
      <c r="F475" s="37">
        <v>1</v>
      </c>
    </row>
    <row r="476" spans="2:6" x14ac:dyDescent="0.35">
      <c r="B476" s="19" t="s">
        <v>688</v>
      </c>
      <c r="C476" s="19" t="s">
        <v>865</v>
      </c>
      <c r="D476" s="7" t="s">
        <v>280</v>
      </c>
      <c r="E476" s="7" t="s">
        <v>631</v>
      </c>
      <c r="F476" s="37">
        <v>2</v>
      </c>
    </row>
    <row r="477" spans="2:6" x14ac:dyDescent="0.35">
      <c r="B477" s="19" t="s">
        <v>688</v>
      </c>
      <c r="C477" s="19" t="s">
        <v>865</v>
      </c>
      <c r="D477" s="7" t="s">
        <v>290</v>
      </c>
      <c r="E477" s="7" t="s">
        <v>632</v>
      </c>
      <c r="F477" s="37">
        <v>2</v>
      </c>
    </row>
    <row r="478" spans="2:6" x14ac:dyDescent="0.35">
      <c r="B478" s="19" t="s">
        <v>688</v>
      </c>
      <c r="C478" s="19" t="s">
        <v>865</v>
      </c>
      <c r="D478" s="7" t="s">
        <v>314</v>
      </c>
      <c r="E478" s="7" t="s">
        <v>646</v>
      </c>
      <c r="F478" s="37">
        <v>2</v>
      </c>
    </row>
    <row r="479" spans="2:6" x14ac:dyDescent="0.35">
      <c r="B479" s="19" t="s">
        <v>688</v>
      </c>
      <c r="C479" s="19" t="s">
        <v>865</v>
      </c>
      <c r="D479" s="7" t="s">
        <v>336</v>
      </c>
      <c r="E479" s="7" t="s">
        <v>634</v>
      </c>
      <c r="F479" s="37">
        <v>2</v>
      </c>
    </row>
    <row r="480" spans="2:6" x14ac:dyDescent="0.35">
      <c r="B480" s="19" t="s">
        <v>688</v>
      </c>
      <c r="C480" s="19" t="s">
        <v>865</v>
      </c>
      <c r="D480" s="7" t="s">
        <v>342</v>
      </c>
      <c r="E480" s="7" t="s">
        <v>635</v>
      </c>
      <c r="F480" s="37">
        <v>2</v>
      </c>
    </row>
    <row r="481" spans="2:6" x14ac:dyDescent="0.35">
      <c r="B481" s="19" t="s">
        <v>688</v>
      </c>
      <c r="C481" s="19" t="s">
        <v>865</v>
      </c>
      <c r="D481" s="7" t="s">
        <v>348</v>
      </c>
      <c r="E481" s="7" t="s">
        <v>591</v>
      </c>
      <c r="F481" s="37">
        <v>1</v>
      </c>
    </row>
    <row r="482" spans="2:6" x14ac:dyDescent="0.35">
      <c r="B482" s="19" t="s">
        <v>688</v>
      </c>
      <c r="C482" s="19" t="s">
        <v>865</v>
      </c>
      <c r="D482" s="7" t="s">
        <v>358</v>
      </c>
      <c r="E482" s="7" t="s">
        <v>592</v>
      </c>
      <c r="F482" s="37">
        <v>2</v>
      </c>
    </row>
    <row r="483" spans="2:6" x14ac:dyDescent="0.35">
      <c r="B483" s="19" t="s">
        <v>688</v>
      </c>
      <c r="C483" s="19" t="s">
        <v>865</v>
      </c>
      <c r="D483" s="7" t="s">
        <v>360</v>
      </c>
      <c r="E483" s="7" t="s">
        <v>593</v>
      </c>
      <c r="F483" s="37">
        <v>1</v>
      </c>
    </row>
    <row r="484" spans="2:6" x14ac:dyDescent="0.35">
      <c r="B484" s="19" t="s">
        <v>688</v>
      </c>
      <c r="C484" s="19" t="s">
        <v>865</v>
      </c>
      <c r="D484" s="7" t="s">
        <v>366</v>
      </c>
      <c r="E484" s="7" t="s">
        <v>636</v>
      </c>
      <c r="F484" s="37">
        <v>2</v>
      </c>
    </row>
    <row r="485" spans="2:6" x14ac:dyDescent="0.35">
      <c r="B485" s="19" t="s">
        <v>688</v>
      </c>
      <c r="C485" s="19" t="s">
        <v>865</v>
      </c>
      <c r="D485" s="7" t="s">
        <v>370</v>
      </c>
      <c r="E485" s="7" t="s">
        <v>594</v>
      </c>
      <c r="F485" s="37">
        <v>1</v>
      </c>
    </row>
    <row r="486" spans="2:6" x14ac:dyDescent="0.35">
      <c r="B486" s="19" t="s">
        <v>688</v>
      </c>
      <c r="C486" s="19" t="s">
        <v>865</v>
      </c>
      <c r="D486" s="7" t="s">
        <v>374</v>
      </c>
      <c r="E486" s="7" t="s">
        <v>637</v>
      </c>
      <c r="F486" s="37">
        <v>2</v>
      </c>
    </row>
    <row r="487" spans="2:6" x14ac:dyDescent="0.35">
      <c r="B487" s="19" t="s">
        <v>688</v>
      </c>
      <c r="C487" s="19" t="s">
        <v>865</v>
      </c>
      <c r="D487" s="7" t="s">
        <v>382</v>
      </c>
      <c r="E487" s="7" t="s">
        <v>595</v>
      </c>
      <c r="F487" s="37">
        <v>2</v>
      </c>
    </row>
    <row r="488" spans="2:6" x14ac:dyDescent="0.35">
      <c r="B488" s="19" t="s">
        <v>688</v>
      </c>
      <c r="C488" s="19" t="s">
        <v>865</v>
      </c>
      <c r="D488" s="7" t="s">
        <v>480</v>
      </c>
      <c r="E488" s="7" t="s">
        <v>561</v>
      </c>
      <c r="F488" s="37">
        <v>0.01</v>
      </c>
    </row>
    <row r="489" spans="2:6" x14ac:dyDescent="0.35">
      <c r="B489" s="19" t="s">
        <v>688</v>
      </c>
      <c r="C489" s="19" t="s">
        <v>865</v>
      </c>
      <c r="D489" s="7" t="s">
        <v>482</v>
      </c>
      <c r="E489" s="7" t="s">
        <v>562</v>
      </c>
      <c r="F489" s="37">
        <v>1E-3</v>
      </c>
    </row>
    <row r="490" spans="2:6" x14ac:dyDescent="0.35">
      <c r="B490" s="19" t="s">
        <v>688</v>
      </c>
      <c r="C490" s="19" t="s">
        <v>865</v>
      </c>
      <c r="D490" s="7" t="s">
        <v>486</v>
      </c>
      <c r="E490" s="7" t="s">
        <v>638</v>
      </c>
      <c r="F490" s="37">
        <v>2</v>
      </c>
    </row>
    <row r="491" spans="2:6" x14ac:dyDescent="0.35">
      <c r="B491" s="32" t="s">
        <v>690</v>
      </c>
      <c r="C491" s="19" t="s">
        <v>866</v>
      </c>
      <c r="D491" s="7" t="s">
        <v>9</v>
      </c>
      <c r="E491" s="7" t="s">
        <v>624</v>
      </c>
      <c r="F491" s="37">
        <v>2</v>
      </c>
    </row>
    <row r="492" spans="2:6" x14ac:dyDescent="0.35">
      <c r="B492" s="32" t="s">
        <v>690</v>
      </c>
      <c r="C492" s="19" t="s">
        <v>866</v>
      </c>
      <c r="D492" s="6" t="s">
        <v>86</v>
      </c>
      <c r="E492" s="7" t="s">
        <v>691</v>
      </c>
      <c r="F492" s="37">
        <v>1</v>
      </c>
    </row>
    <row r="493" spans="2:6" x14ac:dyDescent="0.35">
      <c r="B493" s="32" t="s">
        <v>690</v>
      </c>
      <c r="C493" s="19" t="s">
        <v>866</v>
      </c>
      <c r="D493" s="7" t="s">
        <v>148</v>
      </c>
      <c r="E493" s="7" t="s">
        <v>649</v>
      </c>
      <c r="F493" s="37">
        <v>1</v>
      </c>
    </row>
    <row r="494" spans="2:6" x14ac:dyDescent="0.35">
      <c r="B494" s="32" t="s">
        <v>690</v>
      </c>
      <c r="C494" s="19" t="s">
        <v>866</v>
      </c>
      <c r="D494" s="6" t="s">
        <v>200</v>
      </c>
      <c r="E494" s="7" t="s">
        <v>650</v>
      </c>
      <c r="F494" s="37">
        <v>1</v>
      </c>
    </row>
    <row r="495" spans="2:6" x14ac:dyDescent="0.35">
      <c r="B495" s="32" t="s">
        <v>690</v>
      </c>
      <c r="C495" s="19" t="s">
        <v>866</v>
      </c>
      <c r="D495" s="6" t="s">
        <v>202</v>
      </c>
      <c r="E495" s="7" t="s">
        <v>651</v>
      </c>
      <c r="F495" s="37">
        <v>1</v>
      </c>
    </row>
    <row r="496" spans="2:6" x14ac:dyDescent="0.35">
      <c r="B496" s="32" t="s">
        <v>690</v>
      </c>
      <c r="C496" s="19" t="s">
        <v>866</v>
      </c>
      <c r="D496" s="7" t="s">
        <v>244</v>
      </c>
      <c r="E496" s="7" t="s">
        <v>652</v>
      </c>
      <c r="F496" s="37">
        <v>1</v>
      </c>
    </row>
    <row r="497" spans="2:6" x14ac:dyDescent="0.35">
      <c r="B497" s="32" t="s">
        <v>690</v>
      </c>
      <c r="C497" s="19" t="s">
        <v>866</v>
      </c>
      <c r="D497" s="7" t="s">
        <v>246</v>
      </c>
      <c r="E497" s="7" t="s">
        <v>653</v>
      </c>
      <c r="F497" s="37">
        <v>1</v>
      </c>
    </row>
    <row r="498" spans="2:6" x14ac:dyDescent="0.35">
      <c r="B498" s="32" t="s">
        <v>690</v>
      </c>
      <c r="C498" s="19" t="s">
        <v>866</v>
      </c>
      <c r="D498" s="7" t="s">
        <v>280</v>
      </c>
      <c r="E498" s="7" t="s">
        <v>631</v>
      </c>
      <c r="F498" s="37">
        <v>2</v>
      </c>
    </row>
    <row r="499" spans="2:6" x14ac:dyDescent="0.35">
      <c r="B499" s="32" t="s">
        <v>690</v>
      </c>
      <c r="C499" s="19" t="s">
        <v>866</v>
      </c>
      <c r="D499" s="7" t="s">
        <v>290</v>
      </c>
      <c r="E499" s="7" t="s">
        <v>632</v>
      </c>
      <c r="F499" s="37">
        <v>2</v>
      </c>
    </row>
    <row r="500" spans="2:6" x14ac:dyDescent="0.35">
      <c r="B500" s="32" t="s">
        <v>690</v>
      </c>
      <c r="C500" s="19" t="s">
        <v>866</v>
      </c>
      <c r="D500" s="7" t="s">
        <v>316</v>
      </c>
      <c r="E500" s="7" t="s">
        <v>654</v>
      </c>
      <c r="F500" s="37">
        <v>2</v>
      </c>
    </row>
    <row r="501" spans="2:6" x14ac:dyDescent="0.35">
      <c r="B501" s="32" t="s">
        <v>690</v>
      </c>
      <c r="C501" s="19" t="s">
        <v>866</v>
      </c>
      <c r="D501" s="7" t="s">
        <v>336</v>
      </c>
      <c r="E501" s="7" t="s">
        <v>634</v>
      </c>
      <c r="F501" s="37">
        <v>2</v>
      </c>
    </row>
    <row r="502" spans="2:6" x14ac:dyDescent="0.35">
      <c r="B502" s="32" t="s">
        <v>690</v>
      </c>
      <c r="C502" s="19" t="s">
        <v>866</v>
      </c>
      <c r="D502" s="7" t="s">
        <v>342</v>
      </c>
      <c r="E502" s="7" t="s">
        <v>635</v>
      </c>
      <c r="F502" s="37">
        <v>2</v>
      </c>
    </row>
    <row r="503" spans="2:6" x14ac:dyDescent="0.35">
      <c r="B503" s="32" t="s">
        <v>690</v>
      </c>
      <c r="C503" s="19" t="s">
        <v>866</v>
      </c>
      <c r="D503" s="7" t="s">
        <v>348</v>
      </c>
      <c r="E503" s="7" t="s">
        <v>591</v>
      </c>
      <c r="F503" s="37">
        <v>1</v>
      </c>
    </row>
    <row r="504" spans="2:6" x14ac:dyDescent="0.35">
      <c r="B504" s="32" t="s">
        <v>690</v>
      </c>
      <c r="C504" s="19" t="s">
        <v>866</v>
      </c>
      <c r="D504" s="7" t="s">
        <v>358</v>
      </c>
      <c r="E504" s="7" t="s">
        <v>592</v>
      </c>
      <c r="F504" s="37">
        <v>2</v>
      </c>
    </row>
    <row r="505" spans="2:6" x14ac:dyDescent="0.35">
      <c r="B505" s="32" t="s">
        <v>690</v>
      </c>
      <c r="C505" s="19" t="s">
        <v>866</v>
      </c>
      <c r="D505" s="7" t="s">
        <v>360</v>
      </c>
      <c r="E505" s="7" t="s">
        <v>593</v>
      </c>
      <c r="F505" s="37">
        <v>1</v>
      </c>
    </row>
    <row r="506" spans="2:6" x14ac:dyDescent="0.35">
      <c r="B506" s="32" t="s">
        <v>690</v>
      </c>
      <c r="C506" s="19" t="s">
        <v>866</v>
      </c>
      <c r="D506" s="7" t="s">
        <v>366</v>
      </c>
      <c r="E506" s="7" t="s">
        <v>636</v>
      </c>
      <c r="F506" s="37">
        <v>2</v>
      </c>
    </row>
    <row r="507" spans="2:6" x14ac:dyDescent="0.35">
      <c r="B507" s="32" t="s">
        <v>690</v>
      </c>
      <c r="C507" s="19" t="s">
        <v>866</v>
      </c>
      <c r="D507" s="7" t="s">
        <v>370</v>
      </c>
      <c r="E507" s="7" t="s">
        <v>594</v>
      </c>
      <c r="F507" s="37">
        <v>1</v>
      </c>
    </row>
    <row r="508" spans="2:6" x14ac:dyDescent="0.35">
      <c r="B508" s="32" t="s">
        <v>690</v>
      </c>
      <c r="C508" s="19" t="s">
        <v>866</v>
      </c>
      <c r="D508" s="7" t="s">
        <v>374</v>
      </c>
      <c r="E508" s="7" t="s">
        <v>637</v>
      </c>
      <c r="F508" s="37">
        <v>2</v>
      </c>
    </row>
    <row r="509" spans="2:6" x14ac:dyDescent="0.35">
      <c r="B509" s="32" t="s">
        <v>690</v>
      </c>
      <c r="C509" s="19" t="s">
        <v>866</v>
      </c>
      <c r="D509" s="7" t="s">
        <v>382</v>
      </c>
      <c r="E509" s="7" t="s">
        <v>595</v>
      </c>
      <c r="F509" s="37">
        <v>2</v>
      </c>
    </row>
    <row r="510" spans="2:6" x14ac:dyDescent="0.35">
      <c r="B510" s="32" t="s">
        <v>690</v>
      </c>
      <c r="C510" s="19" t="s">
        <v>866</v>
      </c>
      <c r="D510" s="7" t="s">
        <v>480</v>
      </c>
      <c r="E510" s="7" t="s">
        <v>561</v>
      </c>
      <c r="F510" s="37">
        <v>0.01</v>
      </c>
    </row>
    <row r="511" spans="2:6" x14ac:dyDescent="0.35">
      <c r="B511" s="32" t="s">
        <v>690</v>
      </c>
      <c r="C511" s="19" t="s">
        <v>866</v>
      </c>
      <c r="D511" s="7" t="s">
        <v>482</v>
      </c>
      <c r="E511" s="7" t="s">
        <v>562</v>
      </c>
      <c r="F511" s="37">
        <v>1E-3</v>
      </c>
    </row>
    <row r="512" spans="2:6" x14ac:dyDescent="0.35">
      <c r="B512" s="32" t="s">
        <v>690</v>
      </c>
      <c r="C512" s="19" t="s">
        <v>866</v>
      </c>
      <c r="D512" s="7" t="s">
        <v>486</v>
      </c>
      <c r="E512" s="7" t="s">
        <v>638</v>
      </c>
      <c r="F512" s="37">
        <v>2</v>
      </c>
    </row>
    <row r="513" spans="2:6" x14ac:dyDescent="0.35">
      <c r="B513" s="19" t="s">
        <v>692</v>
      </c>
      <c r="C513" s="19" t="s">
        <v>867</v>
      </c>
      <c r="D513" s="7" t="s">
        <v>9</v>
      </c>
      <c r="E513" s="7" t="s">
        <v>624</v>
      </c>
      <c r="F513" s="37">
        <v>2</v>
      </c>
    </row>
    <row r="514" spans="2:6" x14ac:dyDescent="0.35">
      <c r="B514" s="19" t="s">
        <v>692</v>
      </c>
      <c r="C514" s="19" t="s">
        <v>867</v>
      </c>
      <c r="D514" s="6" t="s">
        <v>88</v>
      </c>
      <c r="E514" s="7" t="s">
        <v>693</v>
      </c>
      <c r="F514" s="37">
        <v>1</v>
      </c>
    </row>
    <row r="515" spans="2:6" x14ac:dyDescent="0.35">
      <c r="B515" s="19" t="s">
        <v>692</v>
      </c>
      <c r="C515" s="19" t="s">
        <v>867</v>
      </c>
      <c r="D515" s="7" t="s">
        <v>150</v>
      </c>
      <c r="E515" s="7" t="s">
        <v>657</v>
      </c>
      <c r="F515" s="37">
        <v>1</v>
      </c>
    </row>
    <row r="516" spans="2:6" x14ac:dyDescent="0.35">
      <c r="B516" s="19" t="s">
        <v>692</v>
      </c>
      <c r="C516" s="19" t="s">
        <v>867</v>
      </c>
      <c r="D516" s="6" t="s">
        <v>204</v>
      </c>
      <c r="E516" s="7" t="s">
        <v>658</v>
      </c>
      <c r="F516" s="37">
        <v>1</v>
      </c>
    </row>
    <row r="517" spans="2:6" x14ac:dyDescent="0.35">
      <c r="B517" s="19" t="s">
        <v>692</v>
      </c>
      <c r="C517" s="19" t="s">
        <v>867</v>
      </c>
      <c r="D517" s="6" t="s">
        <v>206</v>
      </c>
      <c r="E517" s="7" t="s">
        <v>659</v>
      </c>
      <c r="F517" s="37">
        <v>1</v>
      </c>
    </row>
    <row r="518" spans="2:6" x14ac:dyDescent="0.35">
      <c r="B518" s="19" t="s">
        <v>692</v>
      </c>
      <c r="C518" s="19" t="s">
        <v>867</v>
      </c>
      <c r="D518" s="7" t="s">
        <v>248</v>
      </c>
      <c r="E518" s="7" t="s">
        <v>660</v>
      </c>
      <c r="F518" s="37">
        <v>1</v>
      </c>
    </row>
    <row r="519" spans="2:6" x14ac:dyDescent="0.35">
      <c r="B519" s="19" t="s">
        <v>692</v>
      </c>
      <c r="C519" s="19" t="s">
        <v>867</v>
      </c>
      <c r="D519" s="7" t="s">
        <v>250</v>
      </c>
      <c r="E519" s="7" t="s">
        <v>661</v>
      </c>
      <c r="F519" s="37">
        <v>1</v>
      </c>
    </row>
    <row r="520" spans="2:6" x14ac:dyDescent="0.35">
      <c r="B520" s="19" t="s">
        <v>692</v>
      </c>
      <c r="C520" s="19" t="s">
        <v>867</v>
      </c>
      <c r="D520" s="7" t="s">
        <v>280</v>
      </c>
      <c r="E520" s="7" t="s">
        <v>631</v>
      </c>
      <c r="F520" s="37">
        <v>2</v>
      </c>
    </row>
    <row r="521" spans="2:6" x14ac:dyDescent="0.35">
      <c r="B521" s="19" t="s">
        <v>692</v>
      </c>
      <c r="C521" s="19" t="s">
        <v>867</v>
      </c>
      <c r="D521" s="7" t="s">
        <v>290</v>
      </c>
      <c r="E521" s="7" t="s">
        <v>632</v>
      </c>
      <c r="F521" s="37">
        <v>2</v>
      </c>
    </row>
    <row r="522" spans="2:6" x14ac:dyDescent="0.35">
      <c r="B522" s="19" t="s">
        <v>692</v>
      </c>
      <c r="C522" s="19" t="s">
        <v>867</v>
      </c>
      <c r="D522" s="7" t="s">
        <v>318</v>
      </c>
      <c r="E522" s="7" t="s">
        <v>662</v>
      </c>
      <c r="F522" s="37">
        <v>2</v>
      </c>
    </row>
    <row r="523" spans="2:6" x14ac:dyDescent="0.35">
      <c r="B523" s="19" t="s">
        <v>692</v>
      </c>
      <c r="C523" s="19" t="s">
        <v>867</v>
      </c>
      <c r="D523" s="7" t="s">
        <v>342</v>
      </c>
      <c r="E523" s="7" t="s">
        <v>635</v>
      </c>
      <c r="F523" s="37">
        <v>2</v>
      </c>
    </row>
    <row r="524" spans="2:6" x14ac:dyDescent="0.35">
      <c r="B524" s="19" t="s">
        <v>692</v>
      </c>
      <c r="C524" s="19" t="s">
        <v>867</v>
      </c>
      <c r="D524" s="7" t="s">
        <v>344</v>
      </c>
      <c r="E524" s="7" t="s">
        <v>663</v>
      </c>
      <c r="F524" s="37">
        <v>2</v>
      </c>
    </row>
    <row r="525" spans="2:6" x14ac:dyDescent="0.35">
      <c r="B525" s="19" t="s">
        <v>692</v>
      </c>
      <c r="C525" s="19" t="s">
        <v>867</v>
      </c>
      <c r="D525" s="7" t="s">
        <v>348</v>
      </c>
      <c r="E525" s="7" t="s">
        <v>591</v>
      </c>
      <c r="F525" s="37">
        <v>1</v>
      </c>
    </row>
    <row r="526" spans="2:6" x14ac:dyDescent="0.35">
      <c r="B526" s="19" t="s">
        <v>692</v>
      </c>
      <c r="C526" s="19" t="s">
        <v>867</v>
      </c>
      <c r="D526" s="7" t="s">
        <v>358</v>
      </c>
      <c r="E526" s="7" t="s">
        <v>592</v>
      </c>
      <c r="F526" s="37">
        <v>2</v>
      </c>
    </row>
    <row r="527" spans="2:6" x14ac:dyDescent="0.35">
      <c r="B527" s="19" t="s">
        <v>692</v>
      </c>
      <c r="C527" s="19" t="s">
        <v>867</v>
      </c>
      <c r="D527" s="7" t="s">
        <v>360</v>
      </c>
      <c r="E527" s="7" t="s">
        <v>593</v>
      </c>
      <c r="F527" s="37">
        <v>1</v>
      </c>
    </row>
    <row r="528" spans="2:6" x14ac:dyDescent="0.35">
      <c r="B528" s="19" t="s">
        <v>692</v>
      </c>
      <c r="C528" s="19" t="s">
        <v>867</v>
      </c>
      <c r="D528" s="7" t="s">
        <v>368</v>
      </c>
      <c r="E528" s="7" t="s">
        <v>664</v>
      </c>
      <c r="F528" s="37">
        <v>2</v>
      </c>
    </row>
    <row r="529" spans="2:6" x14ac:dyDescent="0.35">
      <c r="B529" s="19" t="s">
        <v>692</v>
      </c>
      <c r="C529" s="19" t="s">
        <v>867</v>
      </c>
      <c r="D529" s="7" t="s">
        <v>370</v>
      </c>
      <c r="E529" s="7" t="s">
        <v>594</v>
      </c>
      <c r="F529" s="37">
        <v>1</v>
      </c>
    </row>
    <row r="530" spans="2:6" x14ac:dyDescent="0.35">
      <c r="B530" s="19" t="s">
        <v>692</v>
      </c>
      <c r="C530" s="19" t="s">
        <v>867</v>
      </c>
      <c r="D530" s="7" t="s">
        <v>376</v>
      </c>
      <c r="E530" s="7" t="s">
        <v>665</v>
      </c>
      <c r="F530" s="37">
        <v>2</v>
      </c>
    </row>
    <row r="531" spans="2:6" x14ac:dyDescent="0.35">
      <c r="B531" s="19" t="s">
        <v>692</v>
      </c>
      <c r="C531" s="19" t="s">
        <v>867</v>
      </c>
      <c r="D531" s="7" t="s">
        <v>382</v>
      </c>
      <c r="E531" s="7" t="s">
        <v>595</v>
      </c>
      <c r="F531" s="37">
        <v>2</v>
      </c>
    </row>
    <row r="532" spans="2:6" x14ac:dyDescent="0.35">
      <c r="B532" s="19" t="s">
        <v>692</v>
      </c>
      <c r="C532" s="19" t="s">
        <v>867</v>
      </c>
      <c r="D532" s="7" t="s">
        <v>480</v>
      </c>
      <c r="E532" s="7" t="s">
        <v>561</v>
      </c>
      <c r="F532" s="37">
        <v>0.01</v>
      </c>
    </row>
    <row r="533" spans="2:6" x14ac:dyDescent="0.35">
      <c r="B533" s="19" t="s">
        <v>692</v>
      </c>
      <c r="C533" s="19" t="s">
        <v>867</v>
      </c>
      <c r="D533" s="7" t="s">
        <v>482</v>
      </c>
      <c r="E533" s="7" t="s">
        <v>562</v>
      </c>
      <c r="F533" s="37">
        <v>1E-3</v>
      </c>
    </row>
    <row r="534" spans="2:6" x14ac:dyDescent="0.35">
      <c r="B534" s="19" t="s">
        <v>692</v>
      </c>
      <c r="C534" s="19" t="s">
        <v>867</v>
      </c>
      <c r="D534" s="7" t="s">
        <v>488</v>
      </c>
      <c r="E534" s="7" t="s">
        <v>666</v>
      </c>
      <c r="F534" s="37">
        <v>2</v>
      </c>
    </row>
    <row r="535" spans="2:6" x14ac:dyDescent="0.35">
      <c r="B535" s="19" t="s">
        <v>694</v>
      </c>
      <c r="C535" s="19" t="s">
        <v>868</v>
      </c>
      <c r="D535" s="6" t="s">
        <v>94</v>
      </c>
      <c r="E535" s="7" t="s">
        <v>695</v>
      </c>
      <c r="F535" s="37">
        <v>1</v>
      </c>
    </row>
    <row r="536" spans="2:6" x14ac:dyDescent="0.35">
      <c r="B536" s="19" t="s">
        <v>694</v>
      </c>
      <c r="C536" s="19" t="s">
        <v>868</v>
      </c>
      <c r="D536" s="7" t="s">
        <v>130</v>
      </c>
      <c r="E536" s="7" t="s">
        <v>544</v>
      </c>
      <c r="F536" s="37">
        <v>1</v>
      </c>
    </row>
    <row r="537" spans="2:6" x14ac:dyDescent="0.35">
      <c r="B537" s="19" t="s">
        <v>694</v>
      </c>
      <c r="C537" s="19" t="s">
        <v>868</v>
      </c>
      <c r="D537" s="6" t="s">
        <v>156</v>
      </c>
      <c r="E537" s="7" t="s">
        <v>545</v>
      </c>
      <c r="F537" s="37">
        <v>1</v>
      </c>
    </row>
    <row r="538" spans="2:6" x14ac:dyDescent="0.35">
      <c r="B538" s="19" t="s">
        <v>694</v>
      </c>
      <c r="C538" s="19" t="s">
        <v>868</v>
      </c>
      <c r="D538" s="6" t="s">
        <v>158</v>
      </c>
      <c r="E538" s="7" t="s">
        <v>546</v>
      </c>
      <c r="F538" s="37">
        <v>1</v>
      </c>
    </row>
    <row r="539" spans="2:6" x14ac:dyDescent="0.35">
      <c r="B539" s="19" t="s">
        <v>694</v>
      </c>
      <c r="C539" s="19" t="s">
        <v>868</v>
      </c>
      <c r="D539" s="7" t="s">
        <v>252</v>
      </c>
      <c r="E539" s="7" t="s">
        <v>547</v>
      </c>
      <c r="F539" s="37">
        <v>1</v>
      </c>
    </row>
    <row r="540" spans="2:6" x14ac:dyDescent="0.35">
      <c r="B540" s="19" t="s">
        <v>694</v>
      </c>
      <c r="C540" s="19" t="s">
        <v>868</v>
      </c>
      <c r="D540" s="7" t="s">
        <v>268</v>
      </c>
      <c r="E540" s="7" t="s">
        <v>548</v>
      </c>
      <c r="F540" s="37">
        <v>1</v>
      </c>
    </row>
    <row r="541" spans="2:6" x14ac:dyDescent="0.35">
      <c r="B541" s="19" t="s">
        <v>694</v>
      </c>
      <c r="C541" s="19" t="s">
        <v>868</v>
      </c>
      <c r="D541" s="7" t="s">
        <v>278</v>
      </c>
      <c r="E541" s="7" t="s">
        <v>549</v>
      </c>
      <c r="F541" s="37">
        <v>1</v>
      </c>
    </row>
    <row r="542" spans="2:6" x14ac:dyDescent="0.35">
      <c r="B542" s="19" t="s">
        <v>694</v>
      </c>
      <c r="C542" s="19" t="s">
        <v>868</v>
      </c>
      <c r="D542" s="7" t="s">
        <v>288</v>
      </c>
      <c r="E542" s="7" t="s">
        <v>550</v>
      </c>
      <c r="F542" s="37">
        <v>1</v>
      </c>
    </row>
    <row r="543" spans="2:6" x14ac:dyDescent="0.35">
      <c r="B543" s="19" t="s">
        <v>694</v>
      </c>
      <c r="C543" s="19" t="s">
        <v>868</v>
      </c>
      <c r="D543" s="7" t="s">
        <v>298</v>
      </c>
      <c r="E543" s="7" t="s">
        <v>551</v>
      </c>
      <c r="F543" s="37">
        <v>1</v>
      </c>
    </row>
    <row r="544" spans="2:6" x14ac:dyDescent="0.35">
      <c r="B544" s="19" t="s">
        <v>694</v>
      </c>
      <c r="C544" s="19" t="s">
        <v>868</v>
      </c>
      <c r="D544" s="7" t="s">
        <v>332</v>
      </c>
      <c r="E544" s="7" t="s">
        <v>552</v>
      </c>
      <c r="F544" s="37">
        <v>2</v>
      </c>
    </row>
    <row r="545" spans="2:6" x14ac:dyDescent="0.35">
      <c r="B545" s="19" t="s">
        <v>694</v>
      </c>
      <c r="C545" s="19" t="s">
        <v>868</v>
      </c>
      <c r="D545" s="7" t="s">
        <v>334</v>
      </c>
      <c r="E545" s="7" t="s">
        <v>553</v>
      </c>
      <c r="F545" s="37">
        <v>1</v>
      </c>
    </row>
    <row r="546" spans="2:6" x14ac:dyDescent="0.35">
      <c r="B546" s="19" t="s">
        <v>694</v>
      </c>
      <c r="C546" s="19" t="s">
        <v>868</v>
      </c>
      <c r="D546" s="7" t="s">
        <v>346</v>
      </c>
      <c r="E546" s="7" t="s">
        <v>554</v>
      </c>
      <c r="F546" s="37">
        <v>1</v>
      </c>
    </row>
    <row r="547" spans="2:6" x14ac:dyDescent="0.35">
      <c r="B547" s="19" t="s">
        <v>694</v>
      </c>
      <c r="C547" s="19" t="s">
        <v>868</v>
      </c>
      <c r="D547" s="7" t="s">
        <v>356</v>
      </c>
      <c r="E547" s="7" t="s">
        <v>555</v>
      </c>
      <c r="F547" s="37">
        <v>1</v>
      </c>
    </row>
    <row r="548" spans="2:6" x14ac:dyDescent="0.35">
      <c r="B548" s="19" t="s">
        <v>694</v>
      </c>
      <c r="C548" s="19" t="s">
        <v>868</v>
      </c>
      <c r="D548" s="7" t="s">
        <v>362</v>
      </c>
      <c r="E548" s="7" t="s">
        <v>556</v>
      </c>
      <c r="F548" s="37">
        <v>1</v>
      </c>
    </row>
    <row r="549" spans="2:6" x14ac:dyDescent="0.35">
      <c r="B549" s="19" t="s">
        <v>694</v>
      </c>
      <c r="C549" s="19" t="s">
        <v>868</v>
      </c>
      <c r="D549" s="7" t="s">
        <v>364</v>
      </c>
      <c r="E549" s="7" t="s">
        <v>557</v>
      </c>
      <c r="F549" s="37">
        <v>2</v>
      </c>
    </row>
    <row r="550" spans="2:6" x14ac:dyDescent="0.35">
      <c r="B550" s="19" t="s">
        <v>694</v>
      </c>
      <c r="C550" s="19" t="s">
        <v>868</v>
      </c>
      <c r="D550" s="7" t="s">
        <v>372</v>
      </c>
      <c r="E550" s="7" t="s">
        <v>558</v>
      </c>
      <c r="F550" s="37">
        <v>2</v>
      </c>
    </row>
    <row r="551" spans="2:6" x14ac:dyDescent="0.35">
      <c r="B551" s="19" t="s">
        <v>694</v>
      </c>
      <c r="C551" s="19" t="s">
        <v>868</v>
      </c>
      <c r="D551" s="7" t="s">
        <v>380</v>
      </c>
      <c r="E551" s="7" t="s">
        <v>559</v>
      </c>
      <c r="F551" s="37">
        <v>1</v>
      </c>
    </row>
    <row r="552" spans="2:6" x14ac:dyDescent="0.35">
      <c r="B552" s="19" t="s">
        <v>694</v>
      </c>
      <c r="C552" s="19" t="s">
        <v>868</v>
      </c>
      <c r="D552" s="7" t="s">
        <v>438</v>
      </c>
      <c r="E552" s="7" t="s">
        <v>560</v>
      </c>
      <c r="F552" s="37">
        <v>1</v>
      </c>
    </row>
    <row r="553" spans="2:6" x14ac:dyDescent="0.35">
      <c r="B553" s="19" t="s">
        <v>694</v>
      </c>
      <c r="C553" s="19" t="s">
        <v>868</v>
      </c>
      <c r="D553" s="7" t="s">
        <v>480</v>
      </c>
      <c r="E553" s="7" t="s">
        <v>561</v>
      </c>
      <c r="F553" s="37">
        <v>0.01</v>
      </c>
    </row>
    <row r="554" spans="2:6" x14ac:dyDescent="0.35">
      <c r="B554" s="19" t="s">
        <v>694</v>
      </c>
      <c r="C554" s="19" t="s">
        <v>868</v>
      </c>
      <c r="D554" s="7" t="s">
        <v>482</v>
      </c>
      <c r="E554" s="7" t="s">
        <v>562</v>
      </c>
      <c r="F554" s="37">
        <v>1E-3</v>
      </c>
    </row>
    <row r="555" spans="2:6" x14ac:dyDescent="0.35">
      <c r="B555" s="19" t="s">
        <v>694</v>
      </c>
      <c r="C555" s="19" t="s">
        <v>868</v>
      </c>
      <c r="D555" s="7" t="s">
        <v>484</v>
      </c>
      <c r="E555" s="7" t="s">
        <v>563</v>
      </c>
      <c r="F555" s="37">
        <v>2</v>
      </c>
    </row>
    <row r="556" spans="2:6" x14ac:dyDescent="0.35">
      <c r="B556" s="32" t="s">
        <v>696</v>
      </c>
      <c r="C556" s="19" t="s">
        <v>870</v>
      </c>
      <c r="D556" s="6" t="s">
        <v>96</v>
      </c>
      <c r="E556" s="7" t="s">
        <v>697</v>
      </c>
      <c r="F556" s="37">
        <v>1</v>
      </c>
    </row>
    <row r="557" spans="2:6" x14ac:dyDescent="0.35">
      <c r="B557" s="32" t="s">
        <v>696</v>
      </c>
      <c r="C557" s="19" t="s">
        <v>870</v>
      </c>
      <c r="D557" s="7" t="s">
        <v>132</v>
      </c>
      <c r="E557" s="7" t="s">
        <v>566</v>
      </c>
      <c r="F557" s="37">
        <v>1</v>
      </c>
    </row>
    <row r="558" spans="2:6" x14ac:dyDescent="0.35">
      <c r="B558" s="32" t="s">
        <v>696</v>
      </c>
      <c r="C558" s="19" t="s">
        <v>870</v>
      </c>
      <c r="D558" s="6" t="s">
        <v>160</v>
      </c>
      <c r="E558" s="7" t="s">
        <v>567</v>
      </c>
      <c r="F558" s="37">
        <v>1</v>
      </c>
    </row>
    <row r="559" spans="2:6" x14ac:dyDescent="0.35">
      <c r="B559" s="32" t="s">
        <v>696</v>
      </c>
      <c r="C559" s="19" t="s">
        <v>870</v>
      </c>
      <c r="D559" s="6" t="s">
        <v>162</v>
      </c>
      <c r="E559" s="7" t="s">
        <v>568</v>
      </c>
      <c r="F559" s="37">
        <v>1</v>
      </c>
    </row>
    <row r="560" spans="2:6" x14ac:dyDescent="0.35">
      <c r="B560" s="32" t="s">
        <v>696</v>
      </c>
      <c r="C560" s="19" t="s">
        <v>870</v>
      </c>
      <c r="D560" s="7" t="s">
        <v>254</v>
      </c>
      <c r="E560" s="7" t="s">
        <v>569</v>
      </c>
      <c r="F560" s="37">
        <v>1</v>
      </c>
    </row>
    <row r="561" spans="2:6" x14ac:dyDescent="0.35">
      <c r="B561" s="32" t="s">
        <v>696</v>
      </c>
      <c r="C561" s="19" t="s">
        <v>870</v>
      </c>
      <c r="D561" s="7" t="s">
        <v>270</v>
      </c>
      <c r="E561" s="7" t="s">
        <v>570</v>
      </c>
      <c r="F561" s="37">
        <v>1</v>
      </c>
    </row>
    <row r="562" spans="2:6" x14ac:dyDescent="0.35">
      <c r="B562" s="32" t="s">
        <v>696</v>
      </c>
      <c r="C562" s="19" t="s">
        <v>870</v>
      </c>
      <c r="D562" s="7" t="s">
        <v>278</v>
      </c>
      <c r="E562" s="7" t="s">
        <v>549</v>
      </c>
      <c r="F562" s="37">
        <v>1</v>
      </c>
    </row>
    <row r="563" spans="2:6" x14ac:dyDescent="0.35">
      <c r="B563" s="32" t="s">
        <v>696</v>
      </c>
      <c r="C563" s="19" t="s">
        <v>870</v>
      </c>
      <c r="D563" s="7" t="s">
        <v>288</v>
      </c>
      <c r="E563" s="7" t="s">
        <v>550</v>
      </c>
      <c r="F563" s="37">
        <v>1</v>
      </c>
    </row>
    <row r="564" spans="2:6" x14ac:dyDescent="0.35">
      <c r="B564" s="32" t="s">
        <v>696</v>
      </c>
      <c r="C564" s="19" t="s">
        <v>870</v>
      </c>
      <c r="D564" s="7" t="s">
        <v>300</v>
      </c>
      <c r="E564" s="7" t="s">
        <v>571</v>
      </c>
      <c r="F564" s="37">
        <v>1</v>
      </c>
    </row>
    <row r="565" spans="2:6" x14ac:dyDescent="0.35">
      <c r="B565" s="32" t="s">
        <v>696</v>
      </c>
      <c r="C565" s="19" t="s">
        <v>870</v>
      </c>
      <c r="D565" s="7" t="s">
        <v>332</v>
      </c>
      <c r="E565" s="7" t="s">
        <v>552</v>
      </c>
      <c r="F565" s="37">
        <v>2</v>
      </c>
    </row>
    <row r="566" spans="2:6" x14ac:dyDescent="0.35">
      <c r="B566" s="32" t="s">
        <v>696</v>
      </c>
      <c r="C566" s="19" t="s">
        <v>870</v>
      </c>
      <c r="D566" s="7" t="s">
        <v>334</v>
      </c>
      <c r="E566" s="7" t="s">
        <v>553</v>
      </c>
      <c r="F566" s="37">
        <v>1</v>
      </c>
    </row>
    <row r="567" spans="2:6" x14ac:dyDescent="0.35">
      <c r="B567" s="32" t="s">
        <v>696</v>
      </c>
      <c r="C567" s="19" t="s">
        <v>870</v>
      </c>
      <c r="D567" s="7" t="s">
        <v>346</v>
      </c>
      <c r="E567" s="7" t="s">
        <v>554</v>
      </c>
      <c r="F567" s="37">
        <v>1</v>
      </c>
    </row>
    <row r="568" spans="2:6" x14ac:dyDescent="0.35">
      <c r="B568" s="32" t="s">
        <v>696</v>
      </c>
      <c r="C568" s="19" t="s">
        <v>870</v>
      </c>
      <c r="D568" s="7" t="s">
        <v>356</v>
      </c>
      <c r="E568" s="7" t="s">
        <v>555</v>
      </c>
      <c r="F568" s="37">
        <v>1</v>
      </c>
    </row>
    <row r="569" spans="2:6" x14ac:dyDescent="0.35">
      <c r="B569" s="32" t="s">
        <v>696</v>
      </c>
      <c r="C569" s="19" t="s">
        <v>870</v>
      </c>
      <c r="D569" s="7" t="s">
        <v>362</v>
      </c>
      <c r="E569" s="7" t="s">
        <v>556</v>
      </c>
      <c r="F569" s="37">
        <v>1</v>
      </c>
    </row>
    <row r="570" spans="2:6" x14ac:dyDescent="0.35">
      <c r="B570" s="32" t="s">
        <v>696</v>
      </c>
      <c r="C570" s="19" t="s">
        <v>870</v>
      </c>
      <c r="D570" s="7" t="s">
        <v>364</v>
      </c>
      <c r="E570" s="7" t="s">
        <v>557</v>
      </c>
      <c r="F570" s="37">
        <v>2</v>
      </c>
    </row>
    <row r="571" spans="2:6" x14ac:dyDescent="0.35">
      <c r="B571" s="32" t="s">
        <v>696</v>
      </c>
      <c r="C571" s="19" t="s">
        <v>870</v>
      </c>
      <c r="D571" s="7" t="s">
        <v>372</v>
      </c>
      <c r="E571" s="7" t="s">
        <v>558</v>
      </c>
      <c r="F571" s="37">
        <v>2</v>
      </c>
    </row>
    <row r="572" spans="2:6" x14ac:dyDescent="0.35">
      <c r="B572" s="32" t="s">
        <v>696</v>
      </c>
      <c r="C572" s="19" t="s">
        <v>870</v>
      </c>
      <c r="D572" s="7" t="s">
        <v>380</v>
      </c>
      <c r="E572" s="7" t="s">
        <v>559</v>
      </c>
      <c r="F572" s="37">
        <v>1</v>
      </c>
    </row>
    <row r="573" spans="2:6" x14ac:dyDescent="0.35">
      <c r="B573" s="32" t="s">
        <v>696</v>
      </c>
      <c r="C573" s="19" t="s">
        <v>870</v>
      </c>
      <c r="D573" s="7" t="s">
        <v>438</v>
      </c>
      <c r="E573" s="7" t="s">
        <v>560</v>
      </c>
      <c r="F573" s="37">
        <v>1</v>
      </c>
    </row>
    <row r="574" spans="2:6" x14ac:dyDescent="0.35">
      <c r="B574" s="32" t="s">
        <v>696</v>
      </c>
      <c r="C574" s="19" t="s">
        <v>870</v>
      </c>
      <c r="D574" s="7" t="s">
        <v>480</v>
      </c>
      <c r="E574" s="7" t="s">
        <v>561</v>
      </c>
      <c r="F574" s="37">
        <v>0.01</v>
      </c>
    </row>
    <row r="575" spans="2:6" x14ac:dyDescent="0.35">
      <c r="B575" s="32" t="s">
        <v>696</v>
      </c>
      <c r="C575" s="19" t="s">
        <v>870</v>
      </c>
      <c r="D575" s="7" t="s">
        <v>482</v>
      </c>
      <c r="E575" s="7" t="s">
        <v>562</v>
      </c>
      <c r="F575" s="37">
        <v>1E-3</v>
      </c>
    </row>
    <row r="576" spans="2:6" x14ac:dyDescent="0.35">
      <c r="B576" s="32" t="s">
        <v>696</v>
      </c>
      <c r="C576" s="19" t="s">
        <v>870</v>
      </c>
      <c r="D576" s="7" t="s">
        <v>484</v>
      </c>
      <c r="E576" s="7" t="s">
        <v>563</v>
      </c>
      <c r="F576" s="37">
        <v>2</v>
      </c>
    </row>
    <row r="577" spans="2:6" x14ac:dyDescent="0.35">
      <c r="B577" s="32" t="s">
        <v>698</v>
      </c>
      <c r="C577" s="19" t="s">
        <v>871</v>
      </c>
      <c r="D577" s="6" t="s">
        <v>98</v>
      </c>
      <c r="E577" s="7" t="s">
        <v>699</v>
      </c>
      <c r="F577" s="37">
        <v>1</v>
      </c>
    </row>
    <row r="578" spans="2:6" x14ac:dyDescent="0.35">
      <c r="B578" s="32" t="s">
        <v>698</v>
      </c>
      <c r="C578" s="19" t="s">
        <v>871</v>
      </c>
      <c r="D578" s="7" t="s">
        <v>134</v>
      </c>
      <c r="E578" s="7" t="s">
        <v>574</v>
      </c>
      <c r="F578" s="37">
        <v>1</v>
      </c>
    </row>
    <row r="579" spans="2:6" x14ac:dyDescent="0.35">
      <c r="B579" s="32" t="s">
        <v>698</v>
      </c>
      <c r="C579" s="19" t="s">
        <v>871</v>
      </c>
      <c r="D579" s="6" t="s">
        <v>164</v>
      </c>
      <c r="E579" s="7" t="s">
        <v>575</v>
      </c>
      <c r="F579" s="37">
        <v>1</v>
      </c>
    </row>
    <row r="580" spans="2:6" x14ac:dyDescent="0.35">
      <c r="B580" s="32" t="s">
        <v>698</v>
      </c>
      <c r="C580" s="19" t="s">
        <v>871</v>
      </c>
      <c r="D580" s="6" t="s">
        <v>166</v>
      </c>
      <c r="E580" s="7" t="s">
        <v>576</v>
      </c>
      <c r="F580" s="37">
        <v>1</v>
      </c>
    </row>
    <row r="581" spans="2:6" x14ac:dyDescent="0.35">
      <c r="B581" s="32" t="s">
        <v>698</v>
      </c>
      <c r="C581" s="19" t="s">
        <v>871</v>
      </c>
      <c r="D581" s="7" t="s">
        <v>256</v>
      </c>
      <c r="E581" s="7" t="s">
        <v>577</v>
      </c>
      <c r="F581" s="37">
        <v>1</v>
      </c>
    </row>
    <row r="582" spans="2:6" x14ac:dyDescent="0.35">
      <c r="B582" s="32" t="s">
        <v>698</v>
      </c>
      <c r="C582" s="19" t="s">
        <v>871</v>
      </c>
      <c r="D582" s="7" t="s">
        <v>272</v>
      </c>
      <c r="E582" s="7" t="s">
        <v>578</v>
      </c>
      <c r="F582" s="37">
        <v>1</v>
      </c>
    </row>
    <row r="583" spans="2:6" x14ac:dyDescent="0.35">
      <c r="B583" s="32" t="s">
        <v>698</v>
      </c>
      <c r="C583" s="19" t="s">
        <v>871</v>
      </c>
      <c r="D583" s="7" t="s">
        <v>278</v>
      </c>
      <c r="E583" s="7" t="s">
        <v>549</v>
      </c>
      <c r="F583" s="37">
        <v>1</v>
      </c>
    </row>
    <row r="584" spans="2:6" x14ac:dyDescent="0.35">
      <c r="B584" s="32" t="s">
        <v>698</v>
      </c>
      <c r="C584" s="19" t="s">
        <v>871</v>
      </c>
      <c r="D584" s="7" t="s">
        <v>288</v>
      </c>
      <c r="E584" s="7" t="s">
        <v>550</v>
      </c>
      <c r="F584" s="37">
        <v>1</v>
      </c>
    </row>
    <row r="585" spans="2:6" x14ac:dyDescent="0.35">
      <c r="B585" s="32" t="s">
        <v>698</v>
      </c>
      <c r="C585" s="19" t="s">
        <v>871</v>
      </c>
      <c r="D585" s="7" t="s">
        <v>302</v>
      </c>
      <c r="E585" s="7" t="s">
        <v>579</v>
      </c>
      <c r="F585" s="37">
        <v>1</v>
      </c>
    </row>
    <row r="586" spans="2:6" x14ac:dyDescent="0.35">
      <c r="B586" s="32" t="s">
        <v>698</v>
      </c>
      <c r="C586" s="19" t="s">
        <v>871</v>
      </c>
      <c r="D586" s="7" t="s">
        <v>332</v>
      </c>
      <c r="E586" s="7" t="s">
        <v>552</v>
      </c>
      <c r="F586" s="37">
        <v>2</v>
      </c>
    </row>
    <row r="587" spans="2:6" x14ac:dyDescent="0.35">
      <c r="B587" s="32" t="s">
        <v>698</v>
      </c>
      <c r="C587" s="19" t="s">
        <v>871</v>
      </c>
      <c r="D587" s="7" t="s">
        <v>334</v>
      </c>
      <c r="E587" s="7" t="s">
        <v>553</v>
      </c>
      <c r="F587" s="37">
        <v>1</v>
      </c>
    </row>
    <row r="588" spans="2:6" x14ac:dyDescent="0.35">
      <c r="B588" s="32" t="s">
        <v>698</v>
      </c>
      <c r="C588" s="19" t="s">
        <v>871</v>
      </c>
      <c r="D588" s="7" t="s">
        <v>346</v>
      </c>
      <c r="E588" s="7" t="s">
        <v>554</v>
      </c>
      <c r="F588" s="37">
        <v>1</v>
      </c>
    </row>
    <row r="589" spans="2:6" x14ac:dyDescent="0.35">
      <c r="B589" s="32" t="s">
        <v>698</v>
      </c>
      <c r="C589" s="19" t="s">
        <v>871</v>
      </c>
      <c r="D589" s="7" t="s">
        <v>356</v>
      </c>
      <c r="E589" s="7" t="s">
        <v>555</v>
      </c>
      <c r="F589" s="37">
        <v>1</v>
      </c>
    </row>
    <row r="590" spans="2:6" x14ac:dyDescent="0.35">
      <c r="B590" s="32" t="s">
        <v>698</v>
      </c>
      <c r="C590" s="19" t="s">
        <v>871</v>
      </c>
      <c r="D590" s="7" t="s">
        <v>362</v>
      </c>
      <c r="E590" s="7" t="s">
        <v>556</v>
      </c>
      <c r="F590" s="37">
        <v>1</v>
      </c>
    </row>
    <row r="591" spans="2:6" x14ac:dyDescent="0.35">
      <c r="B591" s="32" t="s">
        <v>698</v>
      </c>
      <c r="C591" s="19" t="s">
        <v>871</v>
      </c>
      <c r="D591" s="7" t="s">
        <v>364</v>
      </c>
      <c r="E591" s="7" t="s">
        <v>557</v>
      </c>
      <c r="F591" s="37">
        <v>2</v>
      </c>
    </row>
    <row r="592" spans="2:6" x14ac:dyDescent="0.35">
      <c r="B592" s="32" t="s">
        <v>698</v>
      </c>
      <c r="C592" s="19" t="s">
        <v>871</v>
      </c>
      <c r="D592" s="7" t="s">
        <v>372</v>
      </c>
      <c r="E592" s="7" t="s">
        <v>558</v>
      </c>
      <c r="F592" s="37">
        <v>2</v>
      </c>
    </row>
    <row r="593" spans="2:6" x14ac:dyDescent="0.35">
      <c r="B593" s="32" t="s">
        <v>698</v>
      </c>
      <c r="C593" s="19" t="s">
        <v>871</v>
      </c>
      <c r="D593" s="7" t="s">
        <v>380</v>
      </c>
      <c r="E593" s="7" t="s">
        <v>559</v>
      </c>
      <c r="F593" s="37">
        <v>1</v>
      </c>
    </row>
    <row r="594" spans="2:6" x14ac:dyDescent="0.35">
      <c r="B594" s="32" t="s">
        <v>698</v>
      </c>
      <c r="C594" s="19" t="s">
        <v>871</v>
      </c>
      <c r="D594" s="7" t="s">
        <v>438</v>
      </c>
      <c r="E594" s="7" t="s">
        <v>560</v>
      </c>
      <c r="F594" s="37">
        <v>1</v>
      </c>
    </row>
    <row r="595" spans="2:6" x14ac:dyDescent="0.35">
      <c r="B595" s="32" t="s">
        <v>698</v>
      </c>
      <c r="C595" s="19" t="s">
        <v>871</v>
      </c>
      <c r="D595" s="7" t="s">
        <v>480</v>
      </c>
      <c r="E595" s="7" t="s">
        <v>561</v>
      </c>
      <c r="F595" s="37">
        <v>0.01</v>
      </c>
    </row>
    <row r="596" spans="2:6" x14ac:dyDescent="0.35">
      <c r="B596" s="32" t="s">
        <v>698</v>
      </c>
      <c r="C596" s="19" t="s">
        <v>871</v>
      </c>
      <c r="D596" s="7" t="s">
        <v>482</v>
      </c>
      <c r="E596" s="7" t="s">
        <v>562</v>
      </c>
      <c r="F596" s="37">
        <v>1E-3</v>
      </c>
    </row>
    <row r="597" spans="2:6" x14ac:dyDescent="0.35">
      <c r="B597" s="32" t="s">
        <v>698</v>
      </c>
      <c r="C597" s="19" t="s">
        <v>871</v>
      </c>
      <c r="D597" s="7" t="s">
        <v>484</v>
      </c>
      <c r="E597" s="7" t="s">
        <v>563</v>
      </c>
      <c r="F597" s="37">
        <v>2</v>
      </c>
    </row>
    <row r="598" spans="2:6" x14ac:dyDescent="0.35">
      <c r="B598" s="32" t="s">
        <v>700</v>
      </c>
      <c r="C598" s="19" t="s">
        <v>872</v>
      </c>
      <c r="D598" s="6" t="s">
        <v>100</v>
      </c>
      <c r="E598" s="7" t="s">
        <v>701</v>
      </c>
      <c r="F598" s="37">
        <v>1</v>
      </c>
    </row>
    <row r="599" spans="2:6" x14ac:dyDescent="0.35">
      <c r="B599" s="32" t="s">
        <v>700</v>
      </c>
      <c r="C599" s="19" t="s">
        <v>872</v>
      </c>
      <c r="D599" s="7" t="s">
        <v>136</v>
      </c>
      <c r="E599" s="7" t="s">
        <v>582</v>
      </c>
      <c r="F599" s="37">
        <v>1</v>
      </c>
    </row>
    <row r="600" spans="2:6" x14ac:dyDescent="0.35">
      <c r="B600" s="32" t="s">
        <v>700</v>
      </c>
      <c r="C600" s="19" t="s">
        <v>872</v>
      </c>
      <c r="D600" s="6" t="s">
        <v>168</v>
      </c>
      <c r="E600" s="7" t="s">
        <v>583</v>
      </c>
      <c r="F600" s="37">
        <v>1</v>
      </c>
    </row>
    <row r="601" spans="2:6" x14ac:dyDescent="0.35">
      <c r="B601" s="32" t="s">
        <v>700</v>
      </c>
      <c r="C601" s="19" t="s">
        <v>872</v>
      </c>
      <c r="D601" s="6" t="s">
        <v>170</v>
      </c>
      <c r="E601" s="7" t="s">
        <v>584</v>
      </c>
      <c r="F601" s="37">
        <v>1</v>
      </c>
    </row>
    <row r="602" spans="2:6" x14ac:dyDescent="0.35">
      <c r="B602" s="32" t="s">
        <v>700</v>
      </c>
      <c r="C602" s="19" t="s">
        <v>872</v>
      </c>
      <c r="D602" s="7" t="s">
        <v>258</v>
      </c>
      <c r="E602" s="7" t="s">
        <v>585</v>
      </c>
      <c r="F602" s="37">
        <v>1</v>
      </c>
    </row>
    <row r="603" spans="2:6" x14ac:dyDescent="0.35">
      <c r="B603" s="32" t="s">
        <v>700</v>
      </c>
      <c r="C603" s="19" t="s">
        <v>872</v>
      </c>
      <c r="D603" s="7" t="s">
        <v>274</v>
      </c>
      <c r="E603" s="7" t="s">
        <v>586</v>
      </c>
      <c r="F603" s="37">
        <v>1</v>
      </c>
    </row>
    <row r="604" spans="2:6" x14ac:dyDescent="0.35">
      <c r="B604" s="32" t="s">
        <v>700</v>
      </c>
      <c r="C604" s="19" t="s">
        <v>872</v>
      </c>
      <c r="D604" s="7" t="s">
        <v>284</v>
      </c>
      <c r="E604" s="7" t="s">
        <v>587</v>
      </c>
      <c r="F604" s="37">
        <v>1</v>
      </c>
    </row>
    <row r="605" spans="2:6" x14ac:dyDescent="0.35">
      <c r="B605" s="32" t="s">
        <v>700</v>
      </c>
      <c r="C605" s="19" t="s">
        <v>872</v>
      </c>
      <c r="D605" s="7" t="s">
        <v>294</v>
      </c>
      <c r="E605" s="7" t="s">
        <v>588</v>
      </c>
      <c r="F605" s="37">
        <v>1</v>
      </c>
    </row>
    <row r="606" spans="2:6" x14ac:dyDescent="0.35">
      <c r="B606" s="32" t="s">
        <v>700</v>
      </c>
      <c r="C606" s="19" t="s">
        <v>872</v>
      </c>
      <c r="D606" s="7" t="s">
        <v>304</v>
      </c>
      <c r="E606" s="7" t="s">
        <v>589</v>
      </c>
      <c r="F606" s="37">
        <v>1</v>
      </c>
    </row>
    <row r="607" spans="2:6" x14ac:dyDescent="0.35">
      <c r="B607" s="32" t="s">
        <v>700</v>
      </c>
      <c r="C607" s="19" t="s">
        <v>872</v>
      </c>
      <c r="D607" s="7" t="s">
        <v>332</v>
      </c>
      <c r="E607" s="7" t="s">
        <v>552</v>
      </c>
      <c r="F607" s="37">
        <v>2</v>
      </c>
    </row>
    <row r="608" spans="2:6" x14ac:dyDescent="0.35">
      <c r="B608" s="32" t="s">
        <v>700</v>
      </c>
      <c r="C608" s="19" t="s">
        <v>872</v>
      </c>
      <c r="D608" s="7" t="s">
        <v>338</v>
      </c>
      <c r="E608" s="7" t="s">
        <v>590</v>
      </c>
      <c r="F608" s="37">
        <v>1</v>
      </c>
    </row>
    <row r="609" spans="2:6" x14ac:dyDescent="0.35">
      <c r="B609" s="32" t="s">
        <v>700</v>
      </c>
      <c r="C609" s="19" t="s">
        <v>872</v>
      </c>
      <c r="D609" s="7" t="s">
        <v>348</v>
      </c>
      <c r="E609" s="7" t="s">
        <v>591</v>
      </c>
      <c r="F609" s="37">
        <v>1</v>
      </c>
    </row>
    <row r="610" spans="2:6" x14ac:dyDescent="0.35">
      <c r="B610" s="32" t="s">
        <v>700</v>
      </c>
      <c r="C610" s="19" t="s">
        <v>872</v>
      </c>
      <c r="D610" s="7" t="s">
        <v>358</v>
      </c>
      <c r="E610" s="7" t="s">
        <v>592</v>
      </c>
      <c r="F610" s="37">
        <v>1</v>
      </c>
    </row>
    <row r="611" spans="2:6" x14ac:dyDescent="0.35">
      <c r="B611" s="32" t="s">
        <v>700</v>
      </c>
      <c r="C611" s="19" t="s">
        <v>872</v>
      </c>
      <c r="D611" s="7" t="s">
        <v>360</v>
      </c>
      <c r="E611" s="7" t="s">
        <v>593</v>
      </c>
      <c r="F611" s="37">
        <v>1</v>
      </c>
    </row>
    <row r="612" spans="2:6" x14ac:dyDescent="0.35">
      <c r="B612" s="32" t="s">
        <v>700</v>
      </c>
      <c r="C612" s="19" t="s">
        <v>872</v>
      </c>
      <c r="D612" s="7" t="s">
        <v>364</v>
      </c>
      <c r="E612" s="7" t="s">
        <v>557</v>
      </c>
      <c r="F612" s="37">
        <v>2</v>
      </c>
    </row>
    <row r="613" spans="2:6" x14ac:dyDescent="0.35">
      <c r="B613" s="32" t="s">
        <v>700</v>
      </c>
      <c r="C613" s="19" t="s">
        <v>872</v>
      </c>
      <c r="D613" s="7" t="s">
        <v>370</v>
      </c>
      <c r="E613" s="7" t="s">
        <v>594</v>
      </c>
      <c r="F613" s="37">
        <v>1</v>
      </c>
    </row>
    <row r="614" spans="2:6" x14ac:dyDescent="0.35">
      <c r="B614" s="32" t="s">
        <v>700</v>
      </c>
      <c r="C614" s="19" t="s">
        <v>872</v>
      </c>
      <c r="D614" s="7" t="s">
        <v>372</v>
      </c>
      <c r="E614" s="7" t="s">
        <v>558</v>
      </c>
      <c r="F614" s="37">
        <v>2</v>
      </c>
    </row>
    <row r="615" spans="2:6" x14ac:dyDescent="0.35">
      <c r="B615" s="32" t="s">
        <v>700</v>
      </c>
      <c r="C615" s="19" t="s">
        <v>872</v>
      </c>
      <c r="D615" s="7" t="s">
        <v>382</v>
      </c>
      <c r="E615" s="7" t="s">
        <v>595</v>
      </c>
      <c r="F615" s="37">
        <v>1</v>
      </c>
    </row>
    <row r="616" spans="2:6" x14ac:dyDescent="0.35">
      <c r="B616" s="32" t="s">
        <v>700</v>
      </c>
      <c r="C616" s="19" t="s">
        <v>872</v>
      </c>
      <c r="D616" s="7" t="s">
        <v>480</v>
      </c>
      <c r="E616" s="7" t="s">
        <v>561</v>
      </c>
      <c r="F616" s="37">
        <v>0.01</v>
      </c>
    </row>
    <row r="617" spans="2:6" x14ac:dyDescent="0.35">
      <c r="B617" s="32" t="s">
        <v>700</v>
      </c>
      <c r="C617" s="19" t="s">
        <v>872</v>
      </c>
      <c r="D617" s="7" t="s">
        <v>482</v>
      </c>
      <c r="E617" s="7" t="s">
        <v>562</v>
      </c>
      <c r="F617" s="37">
        <v>1E-3</v>
      </c>
    </row>
    <row r="618" spans="2:6" x14ac:dyDescent="0.35">
      <c r="B618" s="32" t="s">
        <v>700</v>
      </c>
      <c r="C618" s="19" t="s">
        <v>872</v>
      </c>
      <c r="D618" s="7" t="s">
        <v>484</v>
      </c>
      <c r="E618" s="7" t="s">
        <v>563</v>
      </c>
      <c r="F618" s="37">
        <v>2</v>
      </c>
    </row>
    <row r="619" spans="2:6" x14ac:dyDescent="0.35">
      <c r="B619" s="19" t="s">
        <v>702</v>
      </c>
      <c r="C619" s="19" t="s">
        <v>873</v>
      </c>
      <c r="D619" s="6" t="s">
        <v>100</v>
      </c>
      <c r="E619" s="7" t="s">
        <v>701</v>
      </c>
      <c r="F619" s="37">
        <v>1</v>
      </c>
    </row>
    <row r="620" spans="2:6" x14ac:dyDescent="0.35">
      <c r="B620" s="19" t="s">
        <v>702</v>
      </c>
      <c r="C620" s="19" t="s">
        <v>873</v>
      </c>
      <c r="D620" s="7" t="s">
        <v>136</v>
      </c>
      <c r="E620" s="7" t="s">
        <v>582</v>
      </c>
      <c r="F620" s="37">
        <v>1</v>
      </c>
    </row>
    <row r="621" spans="2:6" x14ac:dyDescent="0.35">
      <c r="B621" s="19" t="s">
        <v>702</v>
      </c>
      <c r="C621" s="19" t="s">
        <v>873</v>
      </c>
      <c r="D621" s="6" t="s">
        <v>168</v>
      </c>
      <c r="E621" s="7" t="s">
        <v>583</v>
      </c>
      <c r="F621" s="37">
        <v>1</v>
      </c>
    </row>
    <row r="622" spans="2:6" x14ac:dyDescent="0.35">
      <c r="B622" s="19" t="s">
        <v>702</v>
      </c>
      <c r="C622" s="19" t="s">
        <v>873</v>
      </c>
      <c r="D622" s="6" t="s">
        <v>170</v>
      </c>
      <c r="E622" s="7" t="s">
        <v>584</v>
      </c>
      <c r="F622" s="37">
        <v>1</v>
      </c>
    </row>
    <row r="623" spans="2:6" x14ac:dyDescent="0.35">
      <c r="B623" s="19" t="s">
        <v>702</v>
      </c>
      <c r="C623" s="19" t="s">
        <v>873</v>
      </c>
      <c r="D623" s="7" t="s">
        <v>260</v>
      </c>
      <c r="E623" s="7" t="s">
        <v>597</v>
      </c>
      <c r="F623" s="37">
        <v>1</v>
      </c>
    </row>
    <row r="624" spans="2:6" x14ac:dyDescent="0.35">
      <c r="B624" s="19" t="s">
        <v>702</v>
      </c>
      <c r="C624" s="19" t="s">
        <v>873</v>
      </c>
      <c r="D624" s="7" t="s">
        <v>274</v>
      </c>
      <c r="E624" s="7" t="s">
        <v>586</v>
      </c>
      <c r="F624" s="37">
        <v>1</v>
      </c>
    </row>
    <row r="625" spans="2:6" x14ac:dyDescent="0.35">
      <c r="B625" s="19" t="s">
        <v>702</v>
      </c>
      <c r="C625" s="19" t="s">
        <v>873</v>
      </c>
      <c r="D625" s="7" t="s">
        <v>284</v>
      </c>
      <c r="E625" s="7" t="s">
        <v>587</v>
      </c>
      <c r="F625" s="37">
        <v>1</v>
      </c>
    </row>
    <row r="626" spans="2:6" x14ac:dyDescent="0.35">
      <c r="B626" s="19" t="s">
        <v>702</v>
      </c>
      <c r="C626" s="19" t="s">
        <v>873</v>
      </c>
      <c r="D626" s="7" t="s">
        <v>294</v>
      </c>
      <c r="E626" s="7" t="s">
        <v>588</v>
      </c>
      <c r="F626" s="37">
        <v>1</v>
      </c>
    </row>
    <row r="627" spans="2:6" x14ac:dyDescent="0.35">
      <c r="B627" s="19" t="s">
        <v>702</v>
      </c>
      <c r="C627" s="19" t="s">
        <v>873</v>
      </c>
      <c r="D627" s="7" t="s">
        <v>304</v>
      </c>
      <c r="E627" s="7" t="s">
        <v>589</v>
      </c>
      <c r="F627" s="37">
        <v>1</v>
      </c>
    </row>
    <row r="628" spans="2:6" x14ac:dyDescent="0.35">
      <c r="B628" s="19" t="s">
        <v>702</v>
      </c>
      <c r="C628" s="19" t="s">
        <v>873</v>
      </c>
      <c r="D628" s="7" t="s">
        <v>332</v>
      </c>
      <c r="E628" s="7" t="s">
        <v>552</v>
      </c>
      <c r="F628" s="37">
        <v>2</v>
      </c>
    </row>
    <row r="629" spans="2:6" x14ac:dyDescent="0.35">
      <c r="B629" s="19" t="s">
        <v>702</v>
      </c>
      <c r="C629" s="19" t="s">
        <v>873</v>
      </c>
      <c r="D629" s="7" t="s">
        <v>338</v>
      </c>
      <c r="E629" s="7" t="s">
        <v>590</v>
      </c>
      <c r="F629" s="37">
        <v>1</v>
      </c>
    </row>
    <row r="630" spans="2:6" x14ac:dyDescent="0.35">
      <c r="B630" s="19" t="s">
        <v>702</v>
      </c>
      <c r="C630" s="19" t="s">
        <v>873</v>
      </c>
      <c r="D630" s="7" t="s">
        <v>348</v>
      </c>
      <c r="E630" s="7" t="s">
        <v>591</v>
      </c>
      <c r="F630" s="37">
        <v>1</v>
      </c>
    </row>
    <row r="631" spans="2:6" x14ac:dyDescent="0.35">
      <c r="B631" s="19" t="s">
        <v>702</v>
      </c>
      <c r="C631" s="19" t="s">
        <v>873</v>
      </c>
      <c r="D631" s="7" t="s">
        <v>358</v>
      </c>
      <c r="E631" s="7" t="s">
        <v>592</v>
      </c>
      <c r="F631" s="37">
        <v>1</v>
      </c>
    </row>
    <row r="632" spans="2:6" x14ac:dyDescent="0.35">
      <c r="B632" s="19" t="s">
        <v>702</v>
      </c>
      <c r="C632" s="19" t="s">
        <v>873</v>
      </c>
      <c r="D632" s="7" t="s">
        <v>360</v>
      </c>
      <c r="E632" s="7" t="s">
        <v>593</v>
      </c>
      <c r="F632" s="37">
        <v>1</v>
      </c>
    </row>
    <row r="633" spans="2:6" x14ac:dyDescent="0.35">
      <c r="B633" s="19" t="s">
        <v>702</v>
      </c>
      <c r="C633" s="19" t="s">
        <v>873</v>
      </c>
      <c r="D633" s="7" t="s">
        <v>364</v>
      </c>
      <c r="E633" s="7" t="s">
        <v>557</v>
      </c>
      <c r="F633" s="37">
        <v>2</v>
      </c>
    </row>
    <row r="634" spans="2:6" x14ac:dyDescent="0.35">
      <c r="B634" s="19" t="s">
        <v>702</v>
      </c>
      <c r="C634" s="19" t="s">
        <v>873</v>
      </c>
      <c r="D634" s="7" t="s">
        <v>370</v>
      </c>
      <c r="E634" s="7" t="s">
        <v>594</v>
      </c>
      <c r="F634" s="37">
        <v>1</v>
      </c>
    </row>
    <row r="635" spans="2:6" x14ac:dyDescent="0.35">
      <c r="B635" s="19" t="s">
        <v>702</v>
      </c>
      <c r="C635" s="19" t="s">
        <v>873</v>
      </c>
      <c r="D635" s="7" t="s">
        <v>372</v>
      </c>
      <c r="E635" s="7" t="s">
        <v>558</v>
      </c>
      <c r="F635" s="37">
        <v>2</v>
      </c>
    </row>
    <row r="636" spans="2:6" x14ac:dyDescent="0.35">
      <c r="B636" s="19" t="s">
        <v>702</v>
      </c>
      <c r="C636" s="19" t="s">
        <v>873</v>
      </c>
      <c r="D636" s="7" t="s">
        <v>382</v>
      </c>
      <c r="E636" s="7" t="s">
        <v>595</v>
      </c>
      <c r="F636" s="37">
        <v>1</v>
      </c>
    </row>
    <row r="637" spans="2:6" x14ac:dyDescent="0.35">
      <c r="B637" s="19" t="s">
        <v>702</v>
      </c>
      <c r="C637" s="19" t="s">
        <v>873</v>
      </c>
      <c r="D637" s="7" t="s">
        <v>480</v>
      </c>
      <c r="E637" s="7" t="s">
        <v>561</v>
      </c>
      <c r="F637" s="37">
        <v>0.01</v>
      </c>
    </row>
    <row r="638" spans="2:6" x14ac:dyDescent="0.35">
      <c r="B638" s="19" t="s">
        <v>702</v>
      </c>
      <c r="C638" s="19" t="s">
        <v>873</v>
      </c>
      <c r="D638" s="7" t="s">
        <v>482</v>
      </c>
      <c r="E638" s="7" t="s">
        <v>562</v>
      </c>
      <c r="F638" s="37">
        <v>1E-3</v>
      </c>
    </row>
    <row r="639" spans="2:6" x14ac:dyDescent="0.35">
      <c r="B639" s="19" t="s">
        <v>702</v>
      </c>
      <c r="C639" s="19" t="s">
        <v>873</v>
      </c>
      <c r="D639" s="7" t="s">
        <v>484</v>
      </c>
      <c r="E639" s="7" t="s">
        <v>563</v>
      </c>
      <c r="F639" s="37">
        <v>2</v>
      </c>
    </row>
    <row r="640" spans="2:6" x14ac:dyDescent="0.35">
      <c r="B640" s="32" t="s">
        <v>703</v>
      </c>
      <c r="C640" s="19" t="s">
        <v>874</v>
      </c>
      <c r="D640" s="6" t="s">
        <v>102</v>
      </c>
      <c r="E640" s="7" t="s">
        <v>704</v>
      </c>
      <c r="F640" s="37">
        <v>1</v>
      </c>
    </row>
    <row r="641" spans="2:6" x14ac:dyDescent="0.35">
      <c r="B641" s="32" t="s">
        <v>703</v>
      </c>
      <c r="C641" s="19" t="s">
        <v>874</v>
      </c>
      <c r="D641" s="7" t="s">
        <v>138</v>
      </c>
      <c r="E641" s="7" t="s">
        <v>600</v>
      </c>
      <c r="F641" s="37">
        <v>1</v>
      </c>
    </row>
    <row r="642" spans="2:6" x14ac:dyDescent="0.35">
      <c r="B642" s="32" t="s">
        <v>703</v>
      </c>
      <c r="C642" s="19" t="s">
        <v>874</v>
      </c>
      <c r="D642" s="6" t="s">
        <v>176</v>
      </c>
      <c r="E642" s="7" t="s">
        <v>601</v>
      </c>
      <c r="F642" s="37">
        <v>1</v>
      </c>
    </row>
    <row r="643" spans="2:6" x14ac:dyDescent="0.35">
      <c r="B643" s="32" t="s">
        <v>703</v>
      </c>
      <c r="C643" s="19" t="s">
        <v>874</v>
      </c>
      <c r="D643" s="6" t="s">
        <v>178</v>
      </c>
      <c r="E643" s="7" t="s">
        <v>602</v>
      </c>
      <c r="F643" s="37">
        <v>1</v>
      </c>
    </row>
    <row r="644" spans="2:6" x14ac:dyDescent="0.35">
      <c r="B644" s="32" t="s">
        <v>703</v>
      </c>
      <c r="C644" s="19" t="s">
        <v>874</v>
      </c>
      <c r="D644" s="7" t="s">
        <v>224</v>
      </c>
      <c r="E644" s="7" t="s">
        <v>603</v>
      </c>
      <c r="F644" s="37">
        <v>1</v>
      </c>
    </row>
    <row r="645" spans="2:6" x14ac:dyDescent="0.35">
      <c r="B645" s="32" t="s">
        <v>703</v>
      </c>
      <c r="C645" s="19" t="s">
        <v>874</v>
      </c>
      <c r="D645" s="7" t="s">
        <v>226</v>
      </c>
      <c r="E645" s="7" t="s">
        <v>604</v>
      </c>
      <c r="F645" s="37">
        <v>1</v>
      </c>
    </row>
    <row r="646" spans="2:6" x14ac:dyDescent="0.35">
      <c r="B646" s="32" t="s">
        <v>703</v>
      </c>
      <c r="C646" s="19" t="s">
        <v>874</v>
      </c>
      <c r="D646" s="7" t="s">
        <v>284</v>
      </c>
      <c r="E646" s="7" t="s">
        <v>587</v>
      </c>
      <c r="F646" s="37">
        <v>1</v>
      </c>
    </row>
    <row r="647" spans="2:6" x14ac:dyDescent="0.35">
      <c r="B647" s="32" t="s">
        <v>703</v>
      </c>
      <c r="C647" s="19" t="s">
        <v>874</v>
      </c>
      <c r="D647" s="7" t="s">
        <v>294</v>
      </c>
      <c r="E647" s="7" t="s">
        <v>588</v>
      </c>
      <c r="F647" s="37">
        <v>1</v>
      </c>
    </row>
    <row r="648" spans="2:6" x14ac:dyDescent="0.35">
      <c r="B648" s="32" t="s">
        <v>703</v>
      </c>
      <c r="C648" s="19" t="s">
        <v>874</v>
      </c>
      <c r="D648" s="7" t="s">
        <v>306</v>
      </c>
      <c r="E648" s="7" t="s">
        <v>605</v>
      </c>
      <c r="F648" s="37">
        <v>2</v>
      </c>
    </row>
    <row r="649" spans="2:6" x14ac:dyDescent="0.35">
      <c r="B649" s="32" t="s">
        <v>703</v>
      </c>
      <c r="C649" s="19" t="s">
        <v>874</v>
      </c>
      <c r="D649" s="7" t="s">
        <v>332</v>
      </c>
      <c r="E649" s="7" t="s">
        <v>552</v>
      </c>
      <c r="F649" s="37">
        <v>2</v>
      </c>
    </row>
    <row r="650" spans="2:6" x14ac:dyDescent="0.35">
      <c r="B650" s="32" t="s">
        <v>703</v>
      </c>
      <c r="C650" s="19" t="s">
        <v>874</v>
      </c>
      <c r="D650" s="7" t="s">
        <v>340</v>
      </c>
      <c r="E650" s="7" t="s">
        <v>606</v>
      </c>
      <c r="F650" s="37">
        <v>1</v>
      </c>
    </row>
    <row r="651" spans="2:6" x14ac:dyDescent="0.35">
      <c r="B651" s="32" t="s">
        <v>703</v>
      </c>
      <c r="C651" s="19" t="s">
        <v>874</v>
      </c>
      <c r="D651" s="7" t="s">
        <v>348</v>
      </c>
      <c r="E651" s="7" t="s">
        <v>591</v>
      </c>
      <c r="F651" s="37">
        <v>1</v>
      </c>
    </row>
    <row r="652" spans="2:6" x14ac:dyDescent="0.35">
      <c r="B652" s="32" t="s">
        <v>703</v>
      </c>
      <c r="C652" s="19" t="s">
        <v>874</v>
      </c>
      <c r="D652" s="7" t="s">
        <v>358</v>
      </c>
      <c r="E652" s="7" t="s">
        <v>592</v>
      </c>
      <c r="F652" s="37">
        <v>1</v>
      </c>
    </row>
    <row r="653" spans="2:6" x14ac:dyDescent="0.35">
      <c r="B653" s="32" t="s">
        <v>703</v>
      </c>
      <c r="C653" s="19" t="s">
        <v>874</v>
      </c>
      <c r="D653" s="7" t="s">
        <v>360</v>
      </c>
      <c r="E653" s="7" t="s">
        <v>593</v>
      </c>
      <c r="F653" s="37">
        <v>1</v>
      </c>
    </row>
    <row r="654" spans="2:6" x14ac:dyDescent="0.35">
      <c r="B654" s="32" t="s">
        <v>703</v>
      </c>
      <c r="C654" s="19" t="s">
        <v>874</v>
      </c>
      <c r="D654" s="7" t="s">
        <v>364</v>
      </c>
      <c r="E654" s="7" t="s">
        <v>557</v>
      </c>
      <c r="F654" s="37">
        <v>2</v>
      </c>
    </row>
    <row r="655" spans="2:6" x14ac:dyDescent="0.35">
      <c r="B655" s="32" t="s">
        <v>703</v>
      </c>
      <c r="C655" s="19" t="s">
        <v>874</v>
      </c>
      <c r="D655" s="7" t="s">
        <v>370</v>
      </c>
      <c r="E655" s="7" t="s">
        <v>594</v>
      </c>
      <c r="F655" s="37">
        <v>1</v>
      </c>
    </row>
    <row r="656" spans="2:6" x14ac:dyDescent="0.35">
      <c r="B656" s="32" t="s">
        <v>703</v>
      </c>
      <c r="C656" s="19" t="s">
        <v>874</v>
      </c>
      <c r="D656" s="7" t="s">
        <v>372</v>
      </c>
      <c r="E656" s="7" t="s">
        <v>558</v>
      </c>
      <c r="F656" s="37">
        <v>2</v>
      </c>
    </row>
    <row r="657" spans="2:6" x14ac:dyDescent="0.35">
      <c r="B657" s="32" t="s">
        <v>703</v>
      </c>
      <c r="C657" s="19" t="s">
        <v>874</v>
      </c>
      <c r="D657" s="7" t="s">
        <v>382</v>
      </c>
      <c r="E657" s="7" t="s">
        <v>595</v>
      </c>
      <c r="F657" s="37">
        <v>1</v>
      </c>
    </row>
    <row r="658" spans="2:6" x14ac:dyDescent="0.35">
      <c r="B658" s="32" t="s">
        <v>703</v>
      </c>
      <c r="C658" s="19" t="s">
        <v>874</v>
      </c>
      <c r="D658" s="7" t="s">
        <v>480</v>
      </c>
      <c r="E658" s="7" t="s">
        <v>561</v>
      </c>
      <c r="F658" s="37">
        <v>0.01</v>
      </c>
    </row>
    <row r="659" spans="2:6" x14ac:dyDescent="0.35">
      <c r="B659" s="32" t="s">
        <v>703</v>
      </c>
      <c r="C659" s="19" t="s">
        <v>874</v>
      </c>
      <c r="D659" s="7" t="s">
        <v>482</v>
      </c>
      <c r="E659" s="7" t="s">
        <v>562</v>
      </c>
      <c r="F659" s="37">
        <v>1E-3</v>
      </c>
    </row>
    <row r="660" spans="2:6" x14ac:dyDescent="0.35">
      <c r="B660" s="32" t="s">
        <v>703</v>
      </c>
      <c r="C660" s="19" t="s">
        <v>874</v>
      </c>
      <c r="D660" s="7" t="s">
        <v>484</v>
      </c>
      <c r="E660" s="7" t="s">
        <v>563</v>
      </c>
      <c r="F660" s="37">
        <v>2</v>
      </c>
    </row>
    <row r="661" spans="2:6" x14ac:dyDescent="0.35">
      <c r="B661" s="19" t="s">
        <v>705</v>
      </c>
      <c r="C661" s="19" t="s">
        <v>875</v>
      </c>
      <c r="D661" s="6" t="s">
        <v>104</v>
      </c>
      <c r="E661" s="7" t="s">
        <v>706</v>
      </c>
      <c r="F661" s="37">
        <v>1</v>
      </c>
    </row>
    <row r="662" spans="2:6" x14ac:dyDescent="0.35">
      <c r="B662" s="19" t="s">
        <v>705</v>
      </c>
      <c r="C662" s="19" t="s">
        <v>875</v>
      </c>
      <c r="D662" s="7" t="s">
        <v>140</v>
      </c>
      <c r="E662" s="7" t="s">
        <v>609</v>
      </c>
      <c r="F662" s="37">
        <v>1</v>
      </c>
    </row>
    <row r="663" spans="2:6" x14ac:dyDescent="0.35">
      <c r="B663" s="19" t="s">
        <v>705</v>
      </c>
      <c r="C663" s="19" t="s">
        <v>875</v>
      </c>
      <c r="D663" s="6" t="s">
        <v>180</v>
      </c>
      <c r="E663" s="7" t="s">
        <v>610</v>
      </c>
      <c r="F663" s="37">
        <v>1</v>
      </c>
    </row>
    <row r="664" spans="2:6" x14ac:dyDescent="0.35">
      <c r="B664" s="19" t="s">
        <v>705</v>
      </c>
      <c r="C664" s="19" t="s">
        <v>875</v>
      </c>
      <c r="D664" s="6" t="s">
        <v>182</v>
      </c>
      <c r="E664" s="7" t="s">
        <v>611</v>
      </c>
      <c r="F664" s="37">
        <v>1</v>
      </c>
    </row>
    <row r="665" spans="2:6" x14ac:dyDescent="0.35">
      <c r="B665" s="19" t="s">
        <v>705</v>
      </c>
      <c r="C665" s="19" t="s">
        <v>875</v>
      </c>
      <c r="D665" s="7" t="s">
        <v>228</v>
      </c>
      <c r="E665" s="7" t="s">
        <v>612</v>
      </c>
      <c r="F665" s="37">
        <v>1</v>
      </c>
    </row>
    <row r="666" spans="2:6" x14ac:dyDescent="0.35">
      <c r="B666" s="19" t="s">
        <v>705</v>
      </c>
      <c r="C666" s="19" t="s">
        <v>875</v>
      </c>
      <c r="D666" s="7" t="s">
        <v>230</v>
      </c>
      <c r="E666" s="7" t="s">
        <v>613</v>
      </c>
      <c r="F666" s="37">
        <v>1</v>
      </c>
    </row>
    <row r="667" spans="2:6" x14ac:dyDescent="0.35">
      <c r="B667" s="19" t="s">
        <v>705</v>
      </c>
      <c r="C667" s="19" t="s">
        <v>875</v>
      </c>
      <c r="D667" s="7" t="s">
        <v>284</v>
      </c>
      <c r="E667" s="7" t="s">
        <v>587</v>
      </c>
      <c r="F667" s="37">
        <v>1</v>
      </c>
    </row>
    <row r="668" spans="2:6" x14ac:dyDescent="0.35">
      <c r="B668" s="19" t="s">
        <v>705</v>
      </c>
      <c r="C668" s="19" t="s">
        <v>875</v>
      </c>
      <c r="D668" s="7" t="s">
        <v>294</v>
      </c>
      <c r="E668" s="7" t="s">
        <v>588</v>
      </c>
      <c r="F668" s="37">
        <v>1</v>
      </c>
    </row>
    <row r="669" spans="2:6" x14ac:dyDescent="0.35">
      <c r="B669" s="19" t="s">
        <v>705</v>
      </c>
      <c r="C669" s="19" t="s">
        <v>875</v>
      </c>
      <c r="D669" s="7" t="s">
        <v>308</v>
      </c>
      <c r="E669" s="7" t="s">
        <v>614</v>
      </c>
      <c r="F669" s="37">
        <v>2</v>
      </c>
    </row>
    <row r="670" spans="2:6" x14ac:dyDescent="0.35">
      <c r="B670" s="19" t="s">
        <v>705</v>
      </c>
      <c r="C670" s="19" t="s">
        <v>875</v>
      </c>
      <c r="D670" s="7" t="s">
        <v>332</v>
      </c>
      <c r="E670" s="7" t="s">
        <v>552</v>
      </c>
      <c r="F670" s="37">
        <v>2</v>
      </c>
    </row>
    <row r="671" spans="2:6" x14ac:dyDescent="0.35">
      <c r="B671" s="19" t="s">
        <v>705</v>
      </c>
      <c r="C671" s="19" t="s">
        <v>875</v>
      </c>
      <c r="D671" s="7" t="s">
        <v>340</v>
      </c>
      <c r="E671" s="7" t="s">
        <v>606</v>
      </c>
      <c r="F671" s="37">
        <v>1</v>
      </c>
    </row>
    <row r="672" spans="2:6" x14ac:dyDescent="0.35">
      <c r="B672" s="19" t="s">
        <v>705</v>
      </c>
      <c r="C672" s="19" t="s">
        <v>875</v>
      </c>
      <c r="D672" s="7" t="s">
        <v>348</v>
      </c>
      <c r="E672" s="7" t="s">
        <v>591</v>
      </c>
      <c r="F672" s="37">
        <v>1</v>
      </c>
    </row>
    <row r="673" spans="2:6" x14ac:dyDescent="0.35">
      <c r="B673" s="19" t="s">
        <v>705</v>
      </c>
      <c r="C673" s="19" t="s">
        <v>875</v>
      </c>
      <c r="D673" s="7" t="s">
        <v>358</v>
      </c>
      <c r="E673" s="7" t="s">
        <v>592</v>
      </c>
      <c r="F673" s="37">
        <v>1</v>
      </c>
    </row>
    <row r="674" spans="2:6" x14ac:dyDescent="0.35">
      <c r="B674" s="19" t="s">
        <v>705</v>
      </c>
      <c r="C674" s="19" t="s">
        <v>875</v>
      </c>
      <c r="D674" s="7" t="s">
        <v>360</v>
      </c>
      <c r="E674" s="7" t="s">
        <v>593</v>
      </c>
      <c r="F674" s="37">
        <v>1</v>
      </c>
    </row>
    <row r="675" spans="2:6" x14ac:dyDescent="0.35">
      <c r="B675" s="19" t="s">
        <v>705</v>
      </c>
      <c r="C675" s="19" t="s">
        <v>875</v>
      </c>
      <c r="D675" s="7" t="s">
        <v>364</v>
      </c>
      <c r="E675" s="7" t="s">
        <v>557</v>
      </c>
      <c r="F675" s="37">
        <v>2</v>
      </c>
    </row>
    <row r="676" spans="2:6" x14ac:dyDescent="0.35">
      <c r="B676" s="19" t="s">
        <v>705</v>
      </c>
      <c r="C676" s="19" t="s">
        <v>875</v>
      </c>
      <c r="D676" s="7" t="s">
        <v>370</v>
      </c>
      <c r="E676" s="7" t="s">
        <v>594</v>
      </c>
      <c r="F676" s="37">
        <v>1</v>
      </c>
    </row>
    <row r="677" spans="2:6" x14ac:dyDescent="0.35">
      <c r="B677" s="19" t="s">
        <v>705</v>
      </c>
      <c r="C677" s="19" t="s">
        <v>875</v>
      </c>
      <c r="D677" s="7" t="s">
        <v>372</v>
      </c>
      <c r="E677" s="7" t="s">
        <v>558</v>
      </c>
      <c r="F677" s="37">
        <v>2</v>
      </c>
    </row>
    <row r="678" spans="2:6" x14ac:dyDescent="0.35">
      <c r="B678" s="19" t="s">
        <v>705</v>
      </c>
      <c r="C678" s="19" t="s">
        <v>875</v>
      </c>
      <c r="D678" s="7" t="s">
        <v>382</v>
      </c>
      <c r="E678" s="7" t="s">
        <v>595</v>
      </c>
      <c r="F678" s="37">
        <v>1</v>
      </c>
    </row>
    <row r="679" spans="2:6" x14ac:dyDescent="0.35">
      <c r="B679" s="19" t="s">
        <v>705</v>
      </c>
      <c r="C679" s="19" t="s">
        <v>875</v>
      </c>
      <c r="D679" s="7" t="s">
        <v>480</v>
      </c>
      <c r="E679" s="7" t="s">
        <v>561</v>
      </c>
      <c r="F679" s="37">
        <v>0.01</v>
      </c>
    </row>
    <row r="680" spans="2:6" x14ac:dyDescent="0.35">
      <c r="B680" s="19" t="s">
        <v>705</v>
      </c>
      <c r="C680" s="19" t="s">
        <v>875</v>
      </c>
      <c r="D680" s="7" t="s">
        <v>482</v>
      </c>
      <c r="E680" s="7" t="s">
        <v>562</v>
      </c>
      <c r="F680" s="37">
        <v>1E-3</v>
      </c>
    </row>
    <row r="681" spans="2:6" x14ac:dyDescent="0.35">
      <c r="B681" s="19" t="s">
        <v>705</v>
      </c>
      <c r="C681" s="19" t="s">
        <v>875</v>
      </c>
      <c r="D681" s="7" t="s">
        <v>484</v>
      </c>
      <c r="E681" s="7" t="s">
        <v>563</v>
      </c>
      <c r="F681" s="37">
        <v>2</v>
      </c>
    </row>
    <row r="682" spans="2:6" x14ac:dyDescent="0.35">
      <c r="B682" s="19" t="s">
        <v>707</v>
      </c>
      <c r="C682" s="19" t="s">
        <v>876</v>
      </c>
      <c r="D682" s="7" t="s">
        <v>9</v>
      </c>
      <c r="E682" s="7" t="s">
        <v>624</v>
      </c>
      <c r="F682" s="37">
        <v>2</v>
      </c>
    </row>
    <row r="683" spans="2:6" x14ac:dyDescent="0.35">
      <c r="B683" s="19" t="s">
        <v>707</v>
      </c>
      <c r="C683" s="19" t="s">
        <v>876</v>
      </c>
      <c r="D683" s="6" t="s">
        <v>106</v>
      </c>
      <c r="E683" s="7" t="s">
        <v>708</v>
      </c>
      <c r="F683" s="37">
        <v>1</v>
      </c>
    </row>
    <row r="684" spans="2:6" x14ac:dyDescent="0.35">
      <c r="B684" s="19" t="s">
        <v>707</v>
      </c>
      <c r="C684" s="19" t="s">
        <v>876</v>
      </c>
      <c r="D684" s="7" t="s">
        <v>144</v>
      </c>
      <c r="E684" s="7" t="s">
        <v>626</v>
      </c>
      <c r="F684" s="37">
        <v>1</v>
      </c>
    </row>
    <row r="685" spans="2:6" x14ac:dyDescent="0.35">
      <c r="B685" s="19" t="s">
        <v>707</v>
      </c>
      <c r="C685" s="19" t="s">
        <v>876</v>
      </c>
      <c r="D685" s="6" t="s">
        <v>188</v>
      </c>
      <c r="E685" s="7" t="s">
        <v>627</v>
      </c>
      <c r="F685" s="37">
        <v>1</v>
      </c>
    </row>
    <row r="686" spans="2:6" x14ac:dyDescent="0.35">
      <c r="B686" s="19" t="s">
        <v>707</v>
      </c>
      <c r="C686" s="19" t="s">
        <v>876</v>
      </c>
      <c r="D686" s="6" t="s">
        <v>190</v>
      </c>
      <c r="E686" s="7" t="s">
        <v>628</v>
      </c>
      <c r="F686" s="37">
        <v>1</v>
      </c>
    </row>
    <row r="687" spans="2:6" x14ac:dyDescent="0.35">
      <c r="B687" s="19" t="s">
        <v>707</v>
      </c>
      <c r="C687" s="19" t="s">
        <v>876</v>
      </c>
      <c r="D687" s="7" t="s">
        <v>232</v>
      </c>
      <c r="E687" s="7" t="s">
        <v>629</v>
      </c>
      <c r="F687" s="37">
        <v>1</v>
      </c>
    </row>
    <row r="688" spans="2:6" x14ac:dyDescent="0.35">
      <c r="B688" s="19" t="s">
        <v>707</v>
      </c>
      <c r="C688" s="19" t="s">
        <v>876</v>
      </c>
      <c r="D688" s="7" t="s">
        <v>234</v>
      </c>
      <c r="E688" s="7" t="s">
        <v>630</v>
      </c>
      <c r="F688" s="37">
        <v>1</v>
      </c>
    </row>
    <row r="689" spans="2:6" x14ac:dyDescent="0.35">
      <c r="B689" s="19" t="s">
        <v>707</v>
      </c>
      <c r="C689" s="19" t="s">
        <v>876</v>
      </c>
      <c r="D689" s="7" t="s">
        <v>280</v>
      </c>
      <c r="E689" s="7" t="s">
        <v>631</v>
      </c>
      <c r="F689" s="37">
        <v>2</v>
      </c>
    </row>
    <row r="690" spans="2:6" x14ac:dyDescent="0.35">
      <c r="B690" s="19" t="s">
        <v>707</v>
      </c>
      <c r="C690" s="19" t="s">
        <v>876</v>
      </c>
      <c r="D690" s="7" t="s">
        <v>290</v>
      </c>
      <c r="E690" s="7" t="s">
        <v>632</v>
      </c>
      <c r="F690" s="37">
        <v>2</v>
      </c>
    </row>
    <row r="691" spans="2:6" x14ac:dyDescent="0.35">
      <c r="B691" s="19" t="s">
        <v>707</v>
      </c>
      <c r="C691" s="19" t="s">
        <v>876</v>
      </c>
      <c r="D691" s="7" t="s">
        <v>312</v>
      </c>
      <c r="E691" s="7" t="s">
        <v>633</v>
      </c>
      <c r="F691" s="37">
        <v>2</v>
      </c>
    </row>
    <row r="692" spans="2:6" x14ac:dyDescent="0.35">
      <c r="B692" s="19" t="s">
        <v>707</v>
      </c>
      <c r="C692" s="19" t="s">
        <v>876</v>
      </c>
      <c r="D692" s="7" t="s">
        <v>336</v>
      </c>
      <c r="E692" s="7" t="s">
        <v>634</v>
      </c>
      <c r="F692" s="37">
        <v>2</v>
      </c>
    </row>
    <row r="693" spans="2:6" x14ac:dyDescent="0.35">
      <c r="B693" s="19" t="s">
        <v>707</v>
      </c>
      <c r="C693" s="19" t="s">
        <v>876</v>
      </c>
      <c r="D693" s="7" t="s">
        <v>342</v>
      </c>
      <c r="E693" s="7" t="s">
        <v>635</v>
      </c>
      <c r="F693" s="37">
        <v>2</v>
      </c>
    </row>
    <row r="694" spans="2:6" x14ac:dyDescent="0.35">
      <c r="B694" s="19" t="s">
        <v>707</v>
      </c>
      <c r="C694" s="19" t="s">
        <v>876</v>
      </c>
      <c r="D694" s="7" t="s">
        <v>348</v>
      </c>
      <c r="E694" s="7" t="s">
        <v>591</v>
      </c>
      <c r="F694" s="37">
        <v>1</v>
      </c>
    </row>
    <row r="695" spans="2:6" x14ac:dyDescent="0.35">
      <c r="B695" s="19" t="s">
        <v>707</v>
      </c>
      <c r="C695" s="19" t="s">
        <v>876</v>
      </c>
      <c r="D695" s="7" t="s">
        <v>358</v>
      </c>
      <c r="E695" s="7" t="s">
        <v>592</v>
      </c>
      <c r="F695" s="37">
        <v>2</v>
      </c>
    </row>
    <row r="696" spans="2:6" x14ac:dyDescent="0.35">
      <c r="B696" s="19" t="s">
        <v>707</v>
      </c>
      <c r="C696" s="19" t="s">
        <v>876</v>
      </c>
      <c r="D696" s="7" t="s">
        <v>360</v>
      </c>
      <c r="E696" s="7" t="s">
        <v>593</v>
      </c>
      <c r="F696" s="37">
        <v>1</v>
      </c>
    </row>
    <row r="697" spans="2:6" x14ac:dyDescent="0.35">
      <c r="B697" s="19" t="s">
        <v>707</v>
      </c>
      <c r="C697" s="19" t="s">
        <v>876</v>
      </c>
      <c r="D697" s="7" t="s">
        <v>366</v>
      </c>
      <c r="E697" s="7" t="s">
        <v>636</v>
      </c>
      <c r="F697" s="37">
        <v>2</v>
      </c>
    </row>
    <row r="698" spans="2:6" x14ac:dyDescent="0.35">
      <c r="B698" s="19" t="s">
        <v>707</v>
      </c>
      <c r="C698" s="19" t="s">
        <v>876</v>
      </c>
      <c r="D698" s="7" t="s">
        <v>370</v>
      </c>
      <c r="E698" s="7" t="s">
        <v>594</v>
      </c>
      <c r="F698" s="37">
        <v>1</v>
      </c>
    </row>
    <row r="699" spans="2:6" x14ac:dyDescent="0.35">
      <c r="B699" s="19" t="s">
        <v>707</v>
      </c>
      <c r="C699" s="19" t="s">
        <v>876</v>
      </c>
      <c r="D699" s="7" t="s">
        <v>374</v>
      </c>
      <c r="E699" s="7" t="s">
        <v>637</v>
      </c>
      <c r="F699" s="37">
        <v>2</v>
      </c>
    </row>
    <row r="700" spans="2:6" x14ac:dyDescent="0.35">
      <c r="B700" s="19" t="s">
        <v>707</v>
      </c>
      <c r="C700" s="19" t="s">
        <v>876</v>
      </c>
      <c r="D700" s="7" t="s">
        <v>382</v>
      </c>
      <c r="E700" s="7" t="s">
        <v>595</v>
      </c>
      <c r="F700" s="37">
        <v>2</v>
      </c>
    </row>
    <row r="701" spans="2:6" x14ac:dyDescent="0.35">
      <c r="B701" s="19" t="s">
        <v>707</v>
      </c>
      <c r="C701" s="19" t="s">
        <v>876</v>
      </c>
      <c r="D701" s="7" t="s">
        <v>480</v>
      </c>
      <c r="E701" s="7" t="s">
        <v>561</v>
      </c>
      <c r="F701" s="37">
        <v>0.01</v>
      </c>
    </row>
    <row r="702" spans="2:6" x14ac:dyDescent="0.35">
      <c r="B702" s="19" t="s">
        <v>707</v>
      </c>
      <c r="C702" s="19" t="s">
        <v>876</v>
      </c>
      <c r="D702" s="7" t="s">
        <v>482</v>
      </c>
      <c r="E702" s="7" t="s">
        <v>562</v>
      </c>
      <c r="F702" s="37">
        <v>1E-3</v>
      </c>
    </row>
    <row r="703" spans="2:6" x14ac:dyDescent="0.35">
      <c r="B703" s="19" t="s">
        <v>707</v>
      </c>
      <c r="C703" s="19" t="s">
        <v>876</v>
      </c>
      <c r="D703" s="7" t="s">
        <v>486</v>
      </c>
      <c r="E703" s="7" t="s">
        <v>638</v>
      </c>
      <c r="F703" s="37">
        <v>2</v>
      </c>
    </row>
    <row r="704" spans="2:6" x14ac:dyDescent="0.35">
      <c r="B704" s="19" t="s">
        <v>709</v>
      </c>
      <c r="C704" s="19" t="s">
        <v>877</v>
      </c>
      <c r="D704" s="6" t="s">
        <v>108</v>
      </c>
      <c r="E704" s="7" t="s">
        <v>710</v>
      </c>
      <c r="F704" s="37">
        <v>1</v>
      </c>
    </row>
    <row r="705" spans="2:6" x14ac:dyDescent="0.35">
      <c r="B705" s="19" t="s">
        <v>709</v>
      </c>
      <c r="C705" s="19" t="s">
        <v>877</v>
      </c>
      <c r="D705" s="7" t="s">
        <v>142</v>
      </c>
      <c r="E705" s="7" t="s">
        <v>617</v>
      </c>
      <c r="F705" s="37">
        <v>1</v>
      </c>
    </row>
    <row r="706" spans="2:6" x14ac:dyDescent="0.35">
      <c r="B706" s="19" t="s">
        <v>709</v>
      </c>
      <c r="C706" s="19" t="s">
        <v>877</v>
      </c>
      <c r="D706" s="6" t="s">
        <v>192</v>
      </c>
      <c r="E706" s="7" t="s">
        <v>618</v>
      </c>
      <c r="F706" s="37">
        <v>1</v>
      </c>
    </row>
    <row r="707" spans="2:6" x14ac:dyDescent="0.35">
      <c r="B707" s="19" t="s">
        <v>709</v>
      </c>
      <c r="C707" s="19" t="s">
        <v>877</v>
      </c>
      <c r="D707" s="6" t="s">
        <v>194</v>
      </c>
      <c r="E707" s="7" t="s">
        <v>619</v>
      </c>
      <c r="F707" s="37">
        <v>1</v>
      </c>
    </row>
    <row r="708" spans="2:6" x14ac:dyDescent="0.35">
      <c r="B708" s="19" t="s">
        <v>709</v>
      </c>
      <c r="C708" s="19" t="s">
        <v>877</v>
      </c>
      <c r="D708" s="7" t="s">
        <v>236</v>
      </c>
      <c r="E708" s="7" t="s">
        <v>620</v>
      </c>
      <c r="F708" s="37">
        <v>1</v>
      </c>
    </row>
    <row r="709" spans="2:6" x14ac:dyDescent="0.35">
      <c r="B709" s="19" t="s">
        <v>709</v>
      </c>
      <c r="C709" s="19" t="s">
        <v>877</v>
      </c>
      <c r="D709" s="7" t="s">
        <v>238</v>
      </c>
      <c r="E709" s="7" t="s">
        <v>621</v>
      </c>
      <c r="F709" s="37">
        <v>1</v>
      </c>
    </row>
    <row r="710" spans="2:6" x14ac:dyDescent="0.35">
      <c r="B710" s="19" t="s">
        <v>709</v>
      </c>
      <c r="C710" s="19" t="s">
        <v>877</v>
      </c>
      <c r="D710" s="7" t="s">
        <v>284</v>
      </c>
      <c r="E710" s="7" t="s">
        <v>587</v>
      </c>
      <c r="F710" s="37">
        <v>1</v>
      </c>
    </row>
    <row r="711" spans="2:6" x14ac:dyDescent="0.35">
      <c r="B711" s="19" t="s">
        <v>709</v>
      </c>
      <c r="C711" s="19" t="s">
        <v>877</v>
      </c>
      <c r="D711" s="7" t="s">
        <v>294</v>
      </c>
      <c r="E711" s="7" t="s">
        <v>588</v>
      </c>
      <c r="F711" s="37">
        <v>1</v>
      </c>
    </row>
    <row r="712" spans="2:6" x14ac:dyDescent="0.35">
      <c r="B712" s="19" t="s">
        <v>709</v>
      </c>
      <c r="C712" s="19" t="s">
        <v>877</v>
      </c>
      <c r="D712" s="7" t="s">
        <v>310</v>
      </c>
      <c r="E712" s="7" t="s">
        <v>622</v>
      </c>
      <c r="F712" s="37">
        <v>2</v>
      </c>
    </row>
    <row r="713" spans="2:6" x14ac:dyDescent="0.35">
      <c r="B713" s="19" t="s">
        <v>709</v>
      </c>
      <c r="C713" s="19" t="s">
        <v>877</v>
      </c>
      <c r="D713" s="7" t="s">
        <v>332</v>
      </c>
      <c r="E713" s="7" t="s">
        <v>552</v>
      </c>
      <c r="F713" s="37">
        <v>2</v>
      </c>
    </row>
    <row r="714" spans="2:6" x14ac:dyDescent="0.35">
      <c r="B714" s="19" t="s">
        <v>709</v>
      </c>
      <c r="C714" s="19" t="s">
        <v>877</v>
      </c>
      <c r="D714" s="7" t="s">
        <v>340</v>
      </c>
      <c r="E714" s="7" t="s">
        <v>606</v>
      </c>
      <c r="F714" s="37">
        <v>1</v>
      </c>
    </row>
    <row r="715" spans="2:6" x14ac:dyDescent="0.35">
      <c r="B715" s="19" t="s">
        <v>709</v>
      </c>
      <c r="C715" s="19" t="s">
        <v>877</v>
      </c>
      <c r="D715" s="7" t="s">
        <v>348</v>
      </c>
      <c r="E715" s="7" t="s">
        <v>591</v>
      </c>
      <c r="F715" s="37">
        <v>1</v>
      </c>
    </row>
    <row r="716" spans="2:6" x14ac:dyDescent="0.35">
      <c r="B716" s="19" t="s">
        <v>709</v>
      </c>
      <c r="C716" s="19" t="s">
        <v>877</v>
      </c>
      <c r="D716" s="7" t="s">
        <v>358</v>
      </c>
      <c r="E716" s="7" t="s">
        <v>592</v>
      </c>
      <c r="F716" s="37">
        <v>1</v>
      </c>
    </row>
    <row r="717" spans="2:6" x14ac:dyDescent="0.35">
      <c r="B717" s="19" t="s">
        <v>709</v>
      </c>
      <c r="C717" s="19" t="s">
        <v>877</v>
      </c>
      <c r="D717" s="7" t="s">
        <v>360</v>
      </c>
      <c r="E717" s="7" t="s">
        <v>593</v>
      </c>
      <c r="F717" s="37">
        <v>1</v>
      </c>
    </row>
    <row r="718" spans="2:6" x14ac:dyDescent="0.35">
      <c r="B718" s="19" t="s">
        <v>709</v>
      </c>
      <c r="C718" s="19" t="s">
        <v>877</v>
      </c>
      <c r="D718" s="7" t="s">
        <v>364</v>
      </c>
      <c r="E718" s="7" t="s">
        <v>557</v>
      </c>
      <c r="F718" s="37">
        <v>2</v>
      </c>
    </row>
    <row r="719" spans="2:6" x14ac:dyDescent="0.35">
      <c r="B719" s="19" t="s">
        <v>709</v>
      </c>
      <c r="C719" s="19" t="s">
        <v>877</v>
      </c>
      <c r="D719" s="7" t="s">
        <v>370</v>
      </c>
      <c r="E719" s="7" t="s">
        <v>594</v>
      </c>
      <c r="F719" s="37">
        <v>1</v>
      </c>
    </row>
    <row r="720" spans="2:6" x14ac:dyDescent="0.35">
      <c r="B720" s="19" t="s">
        <v>709</v>
      </c>
      <c r="C720" s="19" t="s">
        <v>877</v>
      </c>
      <c r="D720" s="7" t="s">
        <v>372</v>
      </c>
      <c r="E720" s="7" t="s">
        <v>558</v>
      </c>
      <c r="F720" s="37">
        <v>2</v>
      </c>
    </row>
    <row r="721" spans="2:6" x14ac:dyDescent="0.35">
      <c r="B721" s="19" t="s">
        <v>709</v>
      </c>
      <c r="C721" s="19" t="s">
        <v>877</v>
      </c>
      <c r="D721" s="7" t="s">
        <v>382</v>
      </c>
      <c r="E721" s="7" t="s">
        <v>595</v>
      </c>
      <c r="F721" s="37">
        <v>1</v>
      </c>
    </row>
    <row r="722" spans="2:6" x14ac:dyDescent="0.35">
      <c r="B722" s="19" t="s">
        <v>709</v>
      </c>
      <c r="C722" s="19" t="s">
        <v>877</v>
      </c>
      <c r="D722" s="7" t="s">
        <v>480</v>
      </c>
      <c r="E722" s="7" t="s">
        <v>561</v>
      </c>
      <c r="F722" s="37">
        <v>0.01</v>
      </c>
    </row>
    <row r="723" spans="2:6" x14ac:dyDescent="0.35">
      <c r="B723" s="19" t="s">
        <v>709</v>
      </c>
      <c r="C723" s="19" t="s">
        <v>877</v>
      </c>
      <c r="D723" s="7" t="s">
        <v>482</v>
      </c>
      <c r="E723" s="7" t="s">
        <v>562</v>
      </c>
      <c r="F723" s="37">
        <v>1E-3</v>
      </c>
    </row>
    <row r="724" spans="2:6" x14ac:dyDescent="0.35">
      <c r="B724" s="19" t="s">
        <v>709</v>
      </c>
      <c r="C724" s="19" t="s">
        <v>877</v>
      </c>
      <c r="D724" s="7" t="s">
        <v>484</v>
      </c>
      <c r="E724" s="7" t="s">
        <v>563</v>
      </c>
      <c r="F724" s="37">
        <v>2</v>
      </c>
    </row>
    <row r="725" spans="2:6" x14ac:dyDescent="0.35">
      <c r="B725" s="32" t="s">
        <v>711</v>
      </c>
      <c r="C725" s="19" t="s">
        <v>878</v>
      </c>
      <c r="D725" s="7" t="s">
        <v>9</v>
      </c>
      <c r="E725" s="7" t="s">
        <v>624</v>
      </c>
      <c r="F725" s="37">
        <v>2</v>
      </c>
    </row>
    <row r="726" spans="2:6" x14ac:dyDescent="0.35">
      <c r="B726" s="32" t="s">
        <v>711</v>
      </c>
      <c r="C726" s="19" t="s">
        <v>878</v>
      </c>
      <c r="D726" s="6" t="s">
        <v>110</v>
      </c>
      <c r="E726" s="7" t="s">
        <v>712</v>
      </c>
      <c r="F726" s="37">
        <v>1</v>
      </c>
    </row>
    <row r="727" spans="2:6" x14ac:dyDescent="0.35">
      <c r="B727" s="32" t="s">
        <v>711</v>
      </c>
      <c r="C727" s="19" t="s">
        <v>878</v>
      </c>
      <c r="D727" s="7" t="s">
        <v>146</v>
      </c>
      <c r="E727" s="7" t="s">
        <v>641</v>
      </c>
      <c r="F727" s="37">
        <v>1</v>
      </c>
    </row>
    <row r="728" spans="2:6" x14ac:dyDescent="0.35">
      <c r="B728" s="32" t="s">
        <v>711</v>
      </c>
      <c r="C728" s="19" t="s">
        <v>878</v>
      </c>
      <c r="D728" s="6" t="s">
        <v>196</v>
      </c>
      <c r="E728" s="7" t="s">
        <v>642</v>
      </c>
      <c r="F728" s="37">
        <v>1</v>
      </c>
    </row>
    <row r="729" spans="2:6" x14ac:dyDescent="0.35">
      <c r="B729" s="32" t="s">
        <v>711</v>
      </c>
      <c r="C729" s="19" t="s">
        <v>878</v>
      </c>
      <c r="D729" s="6" t="s">
        <v>198</v>
      </c>
      <c r="E729" s="7" t="s">
        <v>643</v>
      </c>
      <c r="F729" s="37">
        <v>1</v>
      </c>
    </row>
    <row r="730" spans="2:6" x14ac:dyDescent="0.35">
      <c r="B730" s="32" t="s">
        <v>711</v>
      </c>
      <c r="C730" s="19" t="s">
        <v>878</v>
      </c>
      <c r="D730" s="7" t="s">
        <v>240</v>
      </c>
      <c r="E730" s="7" t="s">
        <v>644</v>
      </c>
      <c r="F730" s="37">
        <v>1</v>
      </c>
    </row>
    <row r="731" spans="2:6" x14ac:dyDescent="0.35">
      <c r="B731" s="32" t="s">
        <v>711</v>
      </c>
      <c r="C731" s="19" t="s">
        <v>878</v>
      </c>
      <c r="D731" s="7" t="s">
        <v>242</v>
      </c>
      <c r="E731" s="7" t="s">
        <v>645</v>
      </c>
      <c r="F731" s="37">
        <v>1</v>
      </c>
    </row>
    <row r="732" spans="2:6" x14ac:dyDescent="0.35">
      <c r="B732" s="32" t="s">
        <v>711</v>
      </c>
      <c r="C732" s="19" t="s">
        <v>878</v>
      </c>
      <c r="D732" s="7" t="s">
        <v>280</v>
      </c>
      <c r="E732" s="7" t="s">
        <v>631</v>
      </c>
      <c r="F732" s="37">
        <v>2</v>
      </c>
    </row>
    <row r="733" spans="2:6" x14ac:dyDescent="0.35">
      <c r="B733" s="32" t="s">
        <v>711</v>
      </c>
      <c r="C733" s="19" t="s">
        <v>878</v>
      </c>
      <c r="D733" s="7" t="s">
        <v>290</v>
      </c>
      <c r="E733" s="7" t="s">
        <v>632</v>
      </c>
      <c r="F733" s="37">
        <v>2</v>
      </c>
    </row>
    <row r="734" spans="2:6" x14ac:dyDescent="0.35">
      <c r="B734" s="32" t="s">
        <v>711</v>
      </c>
      <c r="C734" s="19" t="s">
        <v>878</v>
      </c>
      <c r="D734" s="7" t="s">
        <v>314</v>
      </c>
      <c r="E734" s="7" t="s">
        <v>646</v>
      </c>
      <c r="F734" s="37">
        <v>2</v>
      </c>
    </row>
    <row r="735" spans="2:6" x14ac:dyDescent="0.35">
      <c r="B735" s="32" t="s">
        <v>711</v>
      </c>
      <c r="C735" s="19" t="s">
        <v>878</v>
      </c>
      <c r="D735" s="7" t="s">
        <v>336</v>
      </c>
      <c r="E735" s="7" t="s">
        <v>634</v>
      </c>
      <c r="F735" s="37">
        <v>2</v>
      </c>
    </row>
    <row r="736" spans="2:6" x14ac:dyDescent="0.35">
      <c r="B736" s="32" t="s">
        <v>711</v>
      </c>
      <c r="C736" s="19" t="s">
        <v>878</v>
      </c>
      <c r="D736" s="7" t="s">
        <v>342</v>
      </c>
      <c r="E736" s="7" t="s">
        <v>635</v>
      </c>
      <c r="F736" s="37">
        <v>2</v>
      </c>
    </row>
    <row r="737" spans="2:6" x14ac:dyDescent="0.35">
      <c r="B737" s="32" t="s">
        <v>711</v>
      </c>
      <c r="C737" s="19" t="s">
        <v>878</v>
      </c>
      <c r="D737" s="7" t="s">
        <v>348</v>
      </c>
      <c r="E737" s="7" t="s">
        <v>591</v>
      </c>
      <c r="F737" s="37">
        <v>1</v>
      </c>
    </row>
    <row r="738" spans="2:6" x14ac:dyDescent="0.35">
      <c r="B738" s="32" t="s">
        <v>711</v>
      </c>
      <c r="C738" s="19" t="s">
        <v>878</v>
      </c>
      <c r="D738" s="7" t="s">
        <v>358</v>
      </c>
      <c r="E738" s="7" t="s">
        <v>592</v>
      </c>
      <c r="F738" s="37">
        <v>2</v>
      </c>
    </row>
    <row r="739" spans="2:6" x14ac:dyDescent="0.35">
      <c r="B739" s="32" t="s">
        <v>711</v>
      </c>
      <c r="C739" s="19" t="s">
        <v>878</v>
      </c>
      <c r="D739" s="7" t="s">
        <v>360</v>
      </c>
      <c r="E739" s="7" t="s">
        <v>593</v>
      </c>
      <c r="F739" s="37">
        <v>1</v>
      </c>
    </row>
    <row r="740" spans="2:6" x14ac:dyDescent="0.35">
      <c r="B740" s="32" t="s">
        <v>711</v>
      </c>
      <c r="C740" s="19" t="s">
        <v>878</v>
      </c>
      <c r="D740" s="7" t="s">
        <v>366</v>
      </c>
      <c r="E740" s="7" t="s">
        <v>636</v>
      </c>
      <c r="F740" s="37">
        <v>2</v>
      </c>
    </row>
    <row r="741" spans="2:6" x14ac:dyDescent="0.35">
      <c r="B741" s="32" t="s">
        <v>711</v>
      </c>
      <c r="C741" s="19" t="s">
        <v>878</v>
      </c>
      <c r="D741" s="7" t="s">
        <v>370</v>
      </c>
      <c r="E741" s="7" t="s">
        <v>594</v>
      </c>
      <c r="F741" s="37">
        <v>1</v>
      </c>
    </row>
    <row r="742" spans="2:6" x14ac:dyDescent="0.35">
      <c r="B742" s="32" t="s">
        <v>711</v>
      </c>
      <c r="C742" s="19" t="s">
        <v>878</v>
      </c>
      <c r="D742" s="7" t="s">
        <v>374</v>
      </c>
      <c r="E742" s="7" t="s">
        <v>637</v>
      </c>
      <c r="F742" s="37">
        <v>2</v>
      </c>
    </row>
    <row r="743" spans="2:6" x14ac:dyDescent="0.35">
      <c r="B743" s="32" t="s">
        <v>711</v>
      </c>
      <c r="C743" s="19" t="s">
        <v>878</v>
      </c>
      <c r="D743" s="7" t="s">
        <v>382</v>
      </c>
      <c r="E743" s="7" t="s">
        <v>595</v>
      </c>
      <c r="F743" s="37">
        <v>2</v>
      </c>
    </row>
    <row r="744" spans="2:6" x14ac:dyDescent="0.35">
      <c r="B744" s="32" t="s">
        <v>711</v>
      </c>
      <c r="C744" s="19" t="s">
        <v>878</v>
      </c>
      <c r="D744" s="7" t="s">
        <v>480</v>
      </c>
      <c r="E744" s="7" t="s">
        <v>561</v>
      </c>
      <c r="F744" s="37">
        <v>0.01</v>
      </c>
    </row>
    <row r="745" spans="2:6" x14ac:dyDescent="0.35">
      <c r="B745" s="32" t="s">
        <v>711</v>
      </c>
      <c r="C745" s="19" t="s">
        <v>878</v>
      </c>
      <c r="D745" s="7" t="s">
        <v>482</v>
      </c>
      <c r="E745" s="7" t="s">
        <v>562</v>
      </c>
      <c r="F745" s="37">
        <v>1E-3</v>
      </c>
    </row>
    <row r="746" spans="2:6" x14ac:dyDescent="0.35">
      <c r="B746" s="32" t="s">
        <v>711</v>
      </c>
      <c r="C746" s="19" t="s">
        <v>878</v>
      </c>
      <c r="D746" s="7" t="s">
        <v>486</v>
      </c>
      <c r="E746" s="7" t="s">
        <v>638</v>
      </c>
      <c r="F746" s="37">
        <v>2</v>
      </c>
    </row>
    <row r="747" spans="2:6" x14ac:dyDescent="0.35">
      <c r="B747" s="33" t="s">
        <v>713</v>
      </c>
      <c r="C747" s="19" t="s">
        <v>879</v>
      </c>
      <c r="D747" s="7" t="s">
        <v>9</v>
      </c>
      <c r="E747" s="7" t="s">
        <v>624</v>
      </c>
      <c r="F747" s="37">
        <v>2</v>
      </c>
    </row>
    <row r="748" spans="2:6" x14ac:dyDescent="0.35">
      <c r="B748" s="33" t="s">
        <v>713</v>
      </c>
      <c r="C748" s="19" t="s">
        <v>879</v>
      </c>
      <c r="D748" s="6" t="s">
        <v>112</v>
      </c>
      <c r="E748" s="7" t="s">
        <v>714</v>
      </c>
      <c r="F748" s="37">
        <v>1</v>
      </c>
    </row>
    <row r="749" spans="2:6" x14ac:dyDescent="0.35">
      <c r="B749" s="33" t="s">
        <v>713</v>
      </c>
      <c r="C749" s="19" t="s">
        <v>879</v>
      </c>
      <c r="D749" s="7" t="s">
        <v>148</v>
      </c>
      <c r="E749" s="7" t="s">
        <v>649</v>
      </c>
      <c r="F749" s="37">
        <v>1</v>
      </c>
    </row>
    <row r="750" spans="2:6" x14ac:dyDescent="0.35">
      <c r="B750" s="33" t="s">
        <v>713</v>
      </c>
      <c r="C750" s="19" t="s">
        <v>879</v>
      </c>
      <c r="D750" s="6" t="s">
        <v>200</v>
      </c>
      <c r="E750" s="7" t="s">
        <v>650</v>
      </c>
      <c r="F750" s="37">
        <v>1</v>
      </c>
    </row>
    <row r="751" spans="2:6" x14ac:dyDescent="0.35">
      <c r="B751" s="33" t="s">
        <v>713</v>
      </c>
      <c r="C751" s="19" t="s">
        <v>879</v>
      </c>
      <c r="D751" s="6" t="s">
        <v>202</v>
      </c>
      <c r="E751" s="7" t="s">
        <v>651</v>
      </c>
      <c r="F751" s="37">
        <v>1</v>
      </c>
    </row>
    <row r="752" spans="2:6" x14ac:dyDescent="0.35">
      <c r="B752" s="33" t="s">
        <v>713</v>
      </c>
      <c r="C752" s="19" t="s">
        <v>879</v>
      </c>
      <c r="D752" s="7" t="s">
        <v>244</v>
      </c>
      <c r="E752" s="7" t="s">
        <v>652</v>
      </c>
      <c r="F752" s="37">
        <v>1</v>
      </c>
    </row>
    <row r="753" spans="2:6" x14ac:dyDescent="0.35">
      <c r="B753" s="33" t="s">
        <v>713</v>
      </c>
      <c r="C753" s="19" t="s">
        <v>879</v>
      </c>
      <c r="D753" s="7" t="s">
        <v>246</v>
      </c>
      <c r="E753" s="7" t="s">
        <v>653</v>
      </c>
      <c r="F753" s="37">
        <v>1</v>
      </c>
    </row>
    <row r="754" spans="2:6" x14ac:dyDescent="0.35">
      <c r="B754" s="33" t="s">
        <v>713</v>
      </c>
      <c r="C754" s="19" t="s">
        <v>879</v>
      </c>
      <c r="D754" s="7" t="s">
        <v>280</v>
      </c>
      <c r="E754" s="7" t="s">
        <v>631</v>
      </c>
      <c r="F754" s="37">
        <v>2</v>
      </c>
    </row>
    <row r="755" spans="2:6" x14ac:dyDescent="0.35">
      <c r="B755" s="33" t="s">
        <v>713</v>
      </c>
      <c r="C755" s="19" t="s">
        <v>879</v>
      </c>
      <c r="D755" s="7" t="s">
        <v>290</v>
      </c>
      <c r="E755" s="7" t="s">
        <v>632</v>
      </c>
      <c r="F755" s="37">
        <v>2</v>
      </c>
    </row>
    <row r="756" spans="2:6" x14ac:dyDescent="0.35">
      <c r="B756" s="33" t="s">
        <v>713</v>
      </c>
      <c r="C756" s="19" t="s">
        <v>879</v>
      </c>
      <c r="D756" s="7" t="s">
        <v>316</v>
      </c>
      <c r="E756" s="7" t="s">
        <v>654</v>
      </c>
      <c r="F756" s="37">
        <v>2</v>
      </c>
    </row>
    <row r="757" spans="2:6" x14ac:dyDescent="0.35">
      <c r="B757" s="33" t="s">
        <v>713</v>
      </c>
      <c r="C757" s="19" t="s">
        <v>879</v>
      </c>
      <c r="D757" s="7" t="s">
        <v>336</v>
      </c>
      <c r="E757" s="7" t="s">
        <v>634</v>
      </c>
      <c r="F757" s="37">
        <v>2</v>
      </c>
    </row>
    <row r="758" spans="2:6" x14ac:dyDescent="0.35">
      <c r="B758" s="33" t="s">
        <v>713</v>
      </c>
      <c r="C758" s="19" t="s">
        <v>879</v>
      </c>
      <c r="D758" s="7" t="s">
        <v>342</v>
      </c>
      <c r="E758" s="7" t="s">
        <v>635</v>
      </c>
      <c r="F758" s="37">
        <v>2</v>
      </c>
    </row>
    <row r="759" spans="2:6" x14ac:dyDescent="0.35">
      <c r="B759" s="33" t="s">
        <v>713</v>
      </c>
      <c r="C759" s="19" t="s">
        <v>879</v>
      </c>
      <c r="D759" s="7" t="s">
        <v>348</v>
      </c>
      <c r="E759" s="7" t="s">
        <v>591</v>
      </c>
      <c r="F759" s="37">
        <v>1</v>
      </c>
    </row>
    <row r="760" spans="2:6" x14ac:dyDescent="0.35">
      <c r="B760" s="33" t="s">
        <v>713</v>
      </c>
      <c r="C760" s="19" t="s">
        <v>879</v>
      </c>
      <c r="D760" s="7" t="s">
        <v>358</v>
      </c>
      <c r="E760" s="7" t="s">
        <v>592</v>
      </c>
      <c r="F760" s="37">
        <v>2</v>
      </c>
    </row>
    <row r="761" spans="2:6" x14ac:dyDescent="0.35">
      <c r="B761" s="33" t="s">
        <v>713</v>
      </c>
      <c r="C761" s="19" t="s">
        <v>879</v>
      </c>
      <c r="D761" s="7" t="s">
        <v>360</v>
      </c>
      <c r="E761" s="7" t="s">
        <v>593</v>
      </c>
      <c r="F761" s="37">
        <v>1</v>
      </c>
    </row>
    <row r="762" spans="2:6" x14ac:dyDescent="0.35">
      <c r="B762" s="33" t="s">
        <v>713</v>
      </c>
      <c r="C762" s="19" t="s">
        <v>879</v>
      </c>
      <c r="D762" s="7" t="s">
        <v>366</v>
      </c>
      <c r="E762" s="7" t="s">
        <v>636</v>
      </c>
      <c r="F762" s="37">
        <v>2</v>
      </c>
    </row>
    <row r="763" spans="2:6" x14ac:dyDescent="0.35">
      <c r="B763" s="33" t="s">
        <v>713</v>
      </c>
      <c r="C763" s="19" t="s">
        <v>879</v>
      </c>
      <c r="D763" s="7" t="s">
        <v>370</v>
      </c>
      <c r="E763" s="7" t="s">
        <v>594</v>
      </c>
      <c r="F763" s="37">
        <v>1</v>
      </c>
    </row>
    <row r="764" spans="2:6" x14ac:dyDescent="0.35">
      <c r="B764" s="33" t="s">
        <v>713</v>
      </c>
      <c r="C764" s="19" t="s">
        <v>879</v>
      </c>
      <c r="D764" s="7" t="s">
        <v>374</v>
      </c>
      <c r="E764" s="7" t="s">
        <v>637</v>
      </c>
      <c r="F764" s="37">
        <v>2</v>
      </c>
    </row>
    <row r="765" spans="2:6" x14ac:dyDescent="0.35">
      <c r="B765" s="33" t="s">
        <v>713</v>
      </c>
      <c r="C765" s="19" t="s">
        <v>879</v>
      </c>
      <c r="D765" s="7" t="s">
        <v>382</v>
      </c>
      <c r="E765" s="7" t="s">
        <v>595</v>
      </c>
      <c r="F765" s="37">
        <v>2</v>
      </c>
    </row>
    <row r="766" spans="2:6" x14ac:dyDescent="0.35">
      <c r="B766" s="33" t="s">
        <v>713</v>
      </c>
      <c r="C766" s="19" t="s">
        <v>879</v>
      </c>
      <c r="D766" s="7" t="s">
        <v>480</v>
      </c>
      <c r="E766" s="7" t="s">
        <v>561</v>
      </c>
      <c r="F766" s="37">
        <v>0.01</v>
      </c>
    </row>
    <row r="767" spans="2:6" x14ac:dyDescent="0.35">
      <c r="B767" s="33" t="s">
        <v>713</v>
      </c>
      <c r="C767" s="19" t="s">
        <v>879</v>
      </c>
      <c r="D767" s="7" t="s">
        <v>482</v>
      </c>
      <c r="E767" s="7" t="s">
        <v>562</v>
      </c>
      <c r="F767" s="37">
        <v>1E-3</v>
      </c>
    </row>
    <row r="768" spans="2:6" x14ac:dyDescent="0.35">
      <c r="B768" s="33" t="s">
        <v>713</v>
      </c>
      <c r="C768" s="19" t="s">
        <v>879</v>
      </c>
      <c r="D768" s="7" t="s">
        <v>486</v>
      </c>
      <c r="E768" s="7" t="s">
        <v>638</v>
      </c>
      <c r="F768" s="37">
        <v>2</v>
      </c>
    </row>
    <row r="769" spans="2:6" x14ac:dyDescent="0.35">
      <c r="B769" s="19" t="s">
        <v>715</v>
      </c>
      <c r="C769" s="19" t="s">
        <v>880</v>
      </c>
      <c r="D769" s="7" t="s">
        <v>9</v>
      </c>
      <c r="E769" s="7" t="s">
        <v>624</v>
      </c>
      <c r="F769" s="37">
        <v>2</v>
      </c>
    </row>
    <row r="770" spans="2:6" x14ac:dyDescent="0.35">
      <c r="B770" s="19" t="s">
        <v>715</v>
      </c>
      <c r="C770" s="19" t="s">
        <v>880</v>
      </c>
      <c r="D770" s="6" t="s">
        <v>114</v>
      </c>
      <c r="E770" s="7" t="s">
        <v>716</v>
      </c>
      <c r="F770" s="37">
        <v>1</v>
      </c>
    </row>
    <row r="771" spans="2:6" x14ac:dyDescent="0.35">
      <c r="B771" s="19" t="s">
        <v>715</v>
      </c>
      <c r="C771" s="19" t="s">
        <v>880</v>
      </c>
      <c r="D771" s="7" t="s">
        <v>150</v>
      </c>
      <c r="E771" s="7" t="s">
        <v>657</v>
      </c>
      <c r="F771" s="37">
        <v>1</v>
      </c>
    </row>
    <row r="772" spans="2:6" x14ac:dyDescent="0.35">
      <c r="B772" s="19" t="s">
        <v>715</v>
      </c>
      <c r="C772" s="19" t="s">
        <v>880</v>
      </c>
      <c r="D772" s="6" t="s">
        <v>204</v>
      </c>
      <c r="E772" s="7" t="s">
        <v>658</v>
      </c>
      <c r="F772" s="37">
        <v>1</v>
      </c>
    </row>
    <row r="773" spans="2:6" x14ac:dyDescent="0.35">
      <c r="B773" s="19" t="s">
        <v>715</v>
      </c>
      <c r="C773" s="19" t="s">
        <v>880</v>
      </c>
      <c r="D773" s="6" t="s">
        <v>206</v>
      </c>
      <c r="E773" s="7" t="s">
        <v>659</v>
      </c>
      <c r="F773" s="37">
        <v>1</v>
      </c>
    </row>
    <row r="774" spans="2:6" x14ac:dyDescent="0.35">
      <c r="B774" s="19" t="s">
        <v>715</v>
      </c>
      <c r="C774" s="19" t="s">
        <v>880</v>
      </c>
      <c r="D774" s="7" t="s">
        <v>248</v>
      </c>
      <c r="E774" s="7" t="s">
        <v>660</v>
      </c>
      <c r="F774" s="37">
        <v>1</v>
      </c>
    </row>
    <row r="775" spans="2:6" x14ac:dyDescent="0.35">
      <c r="B775" s="19" t="s">
        <v>715</v>
      </c>
      <c r="C775" s="19" t="s">
        <v>880</v>
      </c>
      <c r="D775" s="7" t="s">
        <v>250</v>
      </c>
      <c r="E775" s="7" t="s">
        <v>661</v>
      </c>
      <c r="F775" s="37">
        <v>1</v>
      </c>
    </row>
    <row r="776" spans="2:6" x14ac:dyDescent="0.35">
      <c r="B776" s="19" t="s">
        <v>715</v>
      </c>
      <c r="C776" s="19" t="s">
        <v>880</v>
      </c>
      <c r="D776" s="7" t="s">
        <v>280</v>
      </c>
      <c r="E776" s="7" t="s">
        <v>631</v>
      </c>
      <c r="F776" s="37">
        <v>2</v>
      </c>
    </row>
    <row r="777" spans="2:6" x14ac:dyDescent="0.35">
      <c r="B777" s="19" t="s">
        <v>715</v>
      </c>
      <c r="C777" s="19" t="s">
        <v>880</v>
      </c>
      <c r="D777" s="7" t="s">
        <v>290</v>
      </c>
      <c r="E777" s="7" t="s">
        <v>632</v>
      </c>
      <c r="F777" s="37">
        <v>2</v>
      </c>
    </row>
    <row r="778" spans="2:6" x14ac:dyDescent="0.35">
      <c r="B778" s="19" t="s">
        <v>715</v>
      </c>
      <c r="C778" s="19" t="s">
        <v>880</v>
      </c>
      <c r="D778" s="7" t="s">
        <v>318</v>
      </c>
      <c r="E778" s="7" t="s">
        <v>662</v>
      </c>
      <c r="F778" s="37">
        <v>2</v>
      </c>
    </row>
    <row r="779" spans="2:6" x14ac:dyDescent="0.35">
      <c r="B779" s="19" t="s">
        <v>715</v>
      </c>
      <c r="C779" s="19" t="s">
        <v>880</v>
      </c>
      <c r="D779" s="7" t="s">
        <v>342</v>
      </c>
      <c r="E779" s="7" t="s">
        <v>635</v>
      </c>
      <c r="F779" s="37">
        <v>2</v>
      </c>
    </row>
    <row r="780" spans="2:6" x14ac:dyDescent="0.35">
      <c r="B780" s="19" t="s">
        <v>715</v>
      </c>
      <c r="C780" s="19" t="s">
        <v>880</v>
      </c>
      <c r="D780" s="7" t="s">
        <v>344</v>
      </c>
      <c r="E780" s="7" t="s">
        <v>663</v>
      </c>
      <c r="F780" s="37">
        <v>2</v>
      </c>
    </row>
    <row r="781" spans="2:6" x14ac:dyDescent="0.35">
      <c r="B781" s="19" t="s">
        <v>715</v>
      </c>
      <c r="C781" s="19" t="s">
        <v>880</v>
      </c>
      <c r="D781" s="7" t="s">
        <v>348</v>
      </c>
      <c r="E781" s="7" t="s">
        <v>591</v>
      </c>
      <c r="F781" s="37">
        <v>1</v>
      </c>
    </row>
    <row r="782" spans="2:6" x14ac:dyDescent="0.35">
      <c r="B782" s="19" t="s">
        <v>715</v>
      </c>
      <c r="C782" s="19" t="s">
        <v>880</v>
      </c>
      <c r="D782" s="7" t="s">
        <v>358</v>
      </c>
      <c r="E782" s="7" t="s">
        <v>592</v>
      </c>
      <c r="F782" s="37">
        <v>2</v>
      </c>
    </row>
    <row r="783" spans="2:6" x14ac:dyDescent="0.35">
      <c r="B783" s="19" t="s">
        <v>715</v>
      </c>
      <c r="C783" s="19" t="s">
        <v>880</v>
      </c>
      <c r="D783" s="7" t="s">
        <v>360</v>
      </c>
      <c r="E783" s="7" t="s">
        <v>593</v>
      </c>
      <c r="F783" s="37">
        <v>1</v>
      </c>
    </row>
    <row r="784" spans="2:6" x14ac:dyDescent="0.35">
      <c r="B784" s="19" t="s">
        <v>715</v>
      </c>
      <c r="C784" s="19" t="s">
        <v>880</v>
      </c>
      <c r="D784" s="7" t="s">
        <v>368</v>
      </c>
      <c r="E784" s="7" t="s">
        <v>664</v>
      </c>
      <c r="F784" s="37">
        <v>2</v>
      </c>
    </row>
    <row r="785" spans="2:6" x14ac:dyDescent="0.35">
      <c r="B785" s="19" t="s">
        <v>715</v>
      </c>
      <c r="C785" s="19" t="s">
        <v>880</v>
      </c>
      <c r="D785" s="7" t="s">
        <v>370</v>
      </c>
      <c r="E785" s="7" t="s">
        <v>594</v>
      </c>
      <c r="F785" s="37">
        <v>1</v>
      </c>
    </row>
    <row r="786" spans="2:6" x14ac:dyDescent="0.35">
      <c r="B786" s="19" t="s">
        <v>715</v>
      </c>
      <c r="C786" s="19" t="s">
        <v>880</v>
      </c>
      <c r="D786" s="7" t="s">
        <v>376</v>
      </c>
      <c r="E786" s="7" t="s">
        <v>665</v>
      </c>
      <c r="F786" s="37">
        <v>2</v>
      </c>
    </row>
    <row r="787" spans="2:6" x14ac:dyDescent="0.35">
      <c r="B787" s="19" t="s">
        <v>715</v>
      </c>
      <c r="C787" s="19" t="s">
        <v>880</v>
      </c>
      <c r="D787" s="7" t="s">
        <v>382</v>
      </c>
      <c r="E787" s="7" t="s">
        <v>595</v>
      </c>
      <c r="F787" s="37">
        <v>2</v>
      </c>
    </row>
    <row r="788" spans="2:6" x14ac:dyDescent="0.35">
      <c r="B788" s="19" t="s">
        <v>715</v>
      </c>
      <c r="C788" s="19" t="s">
        <v>880</v>
      </c>
      <c r="D788" s="7" t="s">
        <v>480</v>
      </c>
      <c r="E788" s="7" t="s">
        <v>561</v>
      </c>
      <c r="F788" s="37">
        <v>0.01</v>
      </c>
    </row>
    <row r="789" spans="2:6" x14ac:dyDescent="0.35">
      <c r="B789" s="19" t="s">
        <v>715</v>
      </c>
      <c r="C789" s="19" t="s">
        <v>880</v>
      </c>
      <c r="D789" s="7" t="s">
        <v>482</v>
      </c>
      <c r="E789" s="7" t="s">
        <v>562</v>
      </c>
      <c r="F789" s="37">
        <v>1E-3</v>
      </c>
    </row>
    <row r="790" spans="2:6" x14ac:dyDescent="0.35">
      <c r="B790" s="19" t="s">
        <v>715</v>
      </c>
      <c r="C790" s="19" t="s">
        <v>880</v>
      </c>
      <c r="D790" s="7" t="s">
        <v>488</v>
      </c>
      <c r="E790" s="7" t="s">
        <v>666</v>
      </c>
      <c r="F790" s="37">
        <v>2</v>
      </c>
    </row>
    <row r="791" spans="2:6" x14ac:dyDescent="0.35">
      <c r="B791" s="34" t="s">
        <v>717</v>
      </c>
      <c r="C791" s="19" t="s">
        <v>881</v>
      </c>
      <c r="D791" s="6" t="s">
        <v>36</v>
      </c>
      <c r="E791" s="7" t="s">
        <v>718</v>
      </c>
      <c r="F791" s="37">
        <v>1</v>
      </c>
    </row>
    <row r="792" spans="2:6" x14ac:dyDescent="0.35">
      <c r="B792" s="34" t="s">
        <v>717</v>
      </c>
      <c r="C792" s="19" t="s">
        <v>881</v>
      </c>
      <c r="D792" s="7" t="s">
        <v>130</v>
      </c>
      <c r="E792" s="7" t="s">
        <v>544</v>
      </c>
      <c r="F792" s="37">
        <v>1</v>
      </c>
    </row>
    <row r="793" spans="2:6" x14ac:dyDescent="0.35">
      <c r="B793" s="34" t="s">
        <v>717</v>
      </c>
      <c r="C793" s="19" t="s">
        <v>881</v>
      </c>
      <c r="D793" s="7" t="s">
        <v>132</v>
      </c>
      <c r="E793" s="7" t="s">
        <v>566</v>
      </c>
      <c r="F793" s="37">
        <v>1</v>
      </c>
    </row>
    <row r="794" spans="2:6" x14ac:dyDescent="0.35">
      <c r="B794" s="34" t="s">
        <v>717</v>
      </c>
      <c r="C794" s="19" t="s">
        <v>881</v>
      </c>
      <c r="D794" s="6" t="s">
        <v>156</v>
      </c>
      <c r="E794" s="7" t="s">
        <v>545</v>
      </c>
      <c r="F794" s="37">
        <v>1</v>
      </c>
    </row>
    <row r="795" spans="2:6" x14ac:dyDescent="0.35">
      <c r="B795" s="34" t="s">
        <v>717</v>
      </c>
      <c r="C795" s="19" t="s">
        <v>881</v>
      </c>
      <c r="D795" s="6" t="s">
        <v>158</v>
      </c>
      <c r="E795" s="7" t="s">
        <v>546</v>
      </c>
      <c r="F795" s="37">
        <v>1</v>
      </c>
    </row>
    <row r="796" spans="2:6" x14ac:dyDescent="0.35">
      <c r="B796" s="34" t="s">
        <v>717</v>
      </c>
      <c r="C796" s="19" t="s">
        <v>881</v>
      </c>
      <c r="D796" s="6" t="s">
        <v>160</v>
      </c>
      <c r="E796" s="7" t="s">
        <v>567</v>
      </c>
      <c r="F796" s="37">
        <v>1</v>
      </c>
    </row>
    <row r="797" spans="2:6" x14ac:dyDescent="0.35">
      <c r="B797" s="34" t="s">
        <v>717</v>
      </c>
      <c r="C797" s="19" t="s">
        <v>881</v>
      </c>
      <c r="D797" s="6" t="s">
        <v>162</v>
      </c>
      <c r="E797" s="7" t="s">
        <v>568</v>
      </c>
      <c r="F797" s="37">
        <v>1</v>
      </c>
    </row>
    <row r="798" spans="2:6" x14ac:dyDescent="0.35">
      <c r="B798" s="34" t="s">
        <v>717</v>
      </c>
      <c r="C798" s="19" t="s">
        <v>881</v>
      </c>
      <c r="D798" s="7" t="s">
        <v>252</v>
      </c>
      <c r="E798" s="7" t="s">
        <v>547</v>
      </c>
      <c r="F798" s="37">
        <v>1</v>
      </c>
    </row>
    <row r="799" spans="2:6" x14ac:dyDescent="0.35">
      <c r="B799" s="34" t="s">
        <v>717</v>
      </c>
      <c r="C799" s="19" t="s">
        <v>881</v>
      </c>
      <c r="D799" s="7" t="s">
        <v>254</v>
      </c>
      <c r="E799" s="7" t="s">
        <v>569</v>
      </c>
      <c r="F799" s="37">
        <v>1</v>
      </c>
    </row>
    <row r="800" spans="2:6" x14ac:dyDescent="0.35">
      <c r="B800" s="34" t="s">
        <v>717</v>
      </c>
      <c r="C800" s="19" t="s">
        <v>881</v>
      </c>
      <c r="D800" s="7" t="s">
        <v>268</v>
      </c>
      <c r="E800" s="7" t="s">
        <v>548</v>
      </c>
      <c r="F800" s="37">
        <v>1</v>
      </c>
    </row>
    <row r="801" spans="2:6" x14ac:dyDescent="0.35">
      <c r="B801" s="34" t="s">
        <v>717</v>
      </c>
      <c r="C801" s="19" t="s">
        <v>881</v>
      </c>
      <c r="D801" s="7" t="s">
        <v>270</v>
      </c>
      <c r="E801" s="7" t="s">
        <v>570</v>
      </c>
      <c r="F801" s="37">
        <v>1</v>
      </c>
    </row>
    <row r="802" spans="2:6" x14ac:dyDescent="0.35">
      <c r="B802" s="34" t="s">
        <v>717</v>
      </c>
      <c r="C802" s="19" t="s">
        <v>881</v>
      </c>
      <c r="D802" s="7" t="s">
        <v>278</v>
      </c>
      <c r="E802" s="7" t="s">
        <v>549</v>
      </c>
      <c r="F802" s="37">
        <v>2</v>
      </c>
    </row>
    <row r="803" spans="2:6" x14ac:dyDescent="0.35">
      <c r="B803" s="34" t="s">
        <v>717</v>
      </c>
      <c r="C803" s="19" t="s">
        <v>881</v>
      </c>
      <c r="D803" s="7" t="s">
        <v>288</v>
      </c>
      <c r="E803" s="7" t="s">
        <v>550</v>
      </c>
      <c r="F803" s="37">
        <v>2</v>
      </c>
    </row>
    <row r="804" spans="2:6" x14ac:dyDescent="0.35">
      <c r="B804" s="34" t="s">
        <v>717</v>
      </c>
      <c r="C804" s="19" t="s">
        <v>881</v>
      </c>
      <c r="D804" s="7" t="s">
        <v>298</v>
      </c>
      <c r="E804" s="7" t="s">
        <v>551</v>
      </c>
      <c r="F804" s="37">
        <v>1</v>
      </c>
    </row>
    <row r="805" spans="2:6" x14ac:dyDescent="0.35">
      <c r="B805" s="34" t="s">
        <v>717</v>
      </c>
      <c r="C805" s="19" t="s">
        <v>881</v>
      </c>
      <c r="D805" s="7" t="s">
        <v>300</v>
      </c>
      <c r="E805" s="7" t="s">
        <v>571</v>
      </c>
      <c r="F805" s="37">
        <v>1</v>
      </c>
    </row>
    <row r="806" spans="2:6" x14ac:dyDescent="0.35">
      <c r="B806" s="34" t="s">
        <v>717</v>
      </c>
      <c r="C806" s="19" t="s">
        <v>881</v>
      </c>
      <c r="D806" s="7" t="s">
        <v>332</v>
      </c>
      <c r="E806" s="7" t="s">
        <v>552</v>
      </c>
      <c r="F806" s="37">
        <v>4</v>
      </c>
    </row>
    <row r="807" spans="2:6" x14ac:dyDescent="0.35">
      <c r="B807" s="34" t="s">
        <v>717</v>
      </c>
      <c r="C807" s="19" t="s">
        <v>881</v>
      </c>
      <c r="D807" s="7" t="s">
        <v>334</v>
      </c>
      <c r="E807" s="7" t="s">
        <v>553</v>
      </c>
      <c r="F807" s="37">
        <v>2</v>
      </c>
    </row>
    <row r="808" spans="2:6" x14ac:dyDescent="0.35">
      <c r="B808" s="34" t="s">
        <v>717</v>
      </c>
      <c r="C808" s="19" t="s">
        <v>881</v>
      </c>
      <c r="D808" s="7" t="s">
        <v>346</v>
      </c>
      <c r="E808" s="7" t="s">
        <v>554</v>
      </c>
      <c r="F808" s="37">
        <v>2</v>
      </c>
    </row>
    <row r="809" spans="2:6" x14ac:dyDescent="0.35">
      <c r="B809" s="34" t="s">
        <v>717</v>
      </c>
      <c r="C809" s="19" t="s">
        <v>881</v>
      </c>
      <c r="D809" s="7" t="s">
        <v>356</v>
      </c>
      <c r="E809" s="7" t="s">
        <v>555</v>
      </c>
      <c r="F809" s="37">
        <v>2</v>
      </c>
    </row>
    <row r="810" spans="2:6" x14ac:dyDescent="0.35">
      <c r="B810" s="34" t="s">
        <v>717</v>
      </c>
      <c r="C810" s="19" t="s">
        <v>881</v>
      </c>
      <c r="D810" s="7" t="s">
        <v>362</v>
      </c>
      <c r="E810" s="7" t="s">
        <v>556</v>
      </c>
      <c r="F810" s="37">
        <v>2</v>
      </c>
    </row>
    <row r="811" spans="2:6" x14ac:dyDescent="0.35">
      <c r="B811" s="34" t="s">
        <v>717</v>
      </c>
      <c r="C811" s="19" t="s">
        <v>881</v>
      </c>
      <c r="D811" s="7" t="s">
        <v>364</v>
      </c>
      <c r="E811" s="7" t="s">
        <v>557</v>
      </c>
      <c r="F811" s="37">
        <v>4</v>
      </c>
    </row>
    <row r="812" spans="2:6" x14ac:dyDescent="0.35">
      <c r="B812" s="34" t="s">
        <v>717</v>
      </c>
      <c r="C812" s="19" t="s">
        <v>881</v>
      </c>
      <c r="D812" s="7" t="s">
        <v>372</v>
      </c>
      <c r="E812" s="7" t="s">
        <v>558</v>
      </c>
      <c r="F812" s="37">
        <v>4</v>
      </c>
    </row>
    <row r="813" spans="2:6" x14ac:dyDescent="0.35">
      <c r="B813" s="34" t="s">
        <v>717</v>
      </c>
      <c r="C813" s="19" t="s">
        <v>881</v>
      </c>
      <c r="D813" s="7" t="s">
        <v>380</v>
      </c>
      <c r="E813" s="7" t="s">
        <v>559</v>
      </c>
      <c r="F813" s="37">
        <v>2</v>
      </c>
    </row>
    <row r="814" spans="2:6" x14ac:dyDescent="0.35">
      <c r="B814" s="34" t="s">
        <v>717</v>
      </c>
      <c r="C814" s="19" t="s">
        <v>881</v>
      </c>
      <c r="D814" s="7" t="s">
        <v>438</v>
      </c>
      <c r="E814" s="7" t="s">
        <v>560</v>
      </c>
      <c r="F814" s="37">
        <v>2</v>
      </c>
    </row>
    <row r="815" spans="2:6" x14ac:dyDescent="0.35">
      <c r="B815" s="34" t="s">
        <v>717</v>
      </c>
      <c r="C815" s="19" t="s">
        <v>881</v>
      </c>
      <c r="D815" s="7" t="s">
        <v>480</v>
      </c>
      <c r="E815" s="7" t="s">
        <v>561</v>
      </c>
      <c r="F815" s="37">
        <v>0.01</v>
      </c>
    </row>
    <row r="816" spans="2:6" x14ac:dyDescent="0.35">
      <c r="B816" s="34" t="s">
        <v>717</v>
      </c>
      <c r="C816" s="19" t="s">
        <v>881</v>
      </c>
      <c r="D816" s="7" t="s">
        <v>482</v>
      </c>
      <c r="E816" s="7" t="s">
        <v>562</v>
      </c>
      <c r="F816" s="37">
        <v>2E-3</v>
      </c>
    </row>
    <row r="817" spans="2:6" x14ac:dyDescent="0.35">
      <c r="B817" s="34" t="s">
        <v>717</v>
      </c>
      <c r="C817" s="19" t="s">
        <v>881</v>
      </c>
      <c r="D817" s="7" t="s">
        <v>484</v>
      </c>
      <c r="E817" s="7" t="s">
        <v>563</v>
      </c>
      <c r="F817" s="37">
        <v>4</v>
      </c>
    </row>
    <row r="818" spans="2:6" x14ac:dyDescent="0.35">
      <c r="B818" s="34" t="str">
        <f>"8638270059008010"</f>
        <v>8638270059008010</v>
      </c>
      <c r="C818" s="19" t="e">
        <v>#N/A</v>
      </c>
      <c r="D818" s="6" t="s">
        <v>38</v>
      </c>
      <c r="E818" s="7" t="s">
        <v>719</v>
      </c>
      <c r="F818" s="37">
        <v>1</v>
      </c>
    </row>
    <row r="819" spans="2:6" x14ac:dyDescent="0.35">
      <c r="B819" s="34" t="str">
        <f>"8638270059008010"</f>
        <v>8638270059008010</v>
      </c>
      <c r="C819" s="19" t="e">
        <v>#N/A</v>
      </c>
      <c r="D819" s="7" t="s">
        <v>132</v>
      </c>
      <c r="E819" s="7" t="s">
        <v>566</v>
      </c>
      <c r="F819" s="37">
        <v>1</v>
      </c>
    </row>
    <row r="820" spans="2:6" x14ac:dyDescent="0.35">
      <c r="B820" s="34" t="s">
        <v>720</v>
      </c>
      <c r="C820" s="19" t="e">
        <v>#N/A</v>
      </c>
      <c r="D820" s="7" t="s">
        <v>134</v>
      </c>
      <c r="E820" s="7" t="s">
        <v>574</v>
      </c>
      <c r="F820" s="37">
        <v>1</v>
      </c>
    </row>
    <row r="821" spans="2:6" x14ac:dyDescent="0.35">
      <c r="B821" s="34" t="s">
        <v>720</v>
      </c>
      <c r="C821" s="19" t="e">
        <v>#N/A</v>
      </c>
      <c r="D821" s="6" t="s">
        <v>160</v>
      </c>
      <c r="E821" s="7" t="s">
        <v>567</v>
      </c>
      <c r="F821" s="37">
        <v>1</v>
      </c>
    </row>
    <row r="822" spans="2:6" x14ac:dyDescent="0.35">
      <c r="B822" s="34" t="s">
        <v>720</v>
      </c>
      <c r="C822" s="19" t="e">
        <v>#N/A</v>
      </c>
      <c r="D822" s="6" t="s">
        <v>162</v>
      </c>
      <c r="E822" s="7" t="s">
        <v>568</v>
      </c>
      <c r="F822" s="37">
        <v>1</v>
      </c>
    </row>
    <row r="823" spans="2:6" x14ac:dyDescent="0.35">
      <c r="B823" s="34" t="s">
        <v>720</v>
      </c>
      <c r="C823" s="19" t="e">
        <v>#N/A</v>
      </c>
      <c r="D823" s="6" t="s">
        <v>164</v>
      </c>
      <c r="E823" s="7" t="s">
        <v>575</v>
      </c>
      <c r="F823" s="37">
        <v>1</v>
      </c>
    </row>
    <row r="824" spans="2:6" x14ac:dyDescent="0.35">
      <c r="B824" s="34" t="s">
        <v>720</v>
      </c>
      <c r="C824" s="19" t="e">
        <v>#N/A</v>
      </c>
      <c r="D824" s="6" t="s">
        <v>166</v>
      </c>
      <c r="E824" s="7" t="s">
        <v>576</v>
      </c>
      <c r="F824" s="37">
        <v>1</v>
      </c>
    </row>
    <row r="825" spans="2:6" x14ac:dyDescent="0.35">
      <c r="B825" s="34" t="s">
        <v>720</v>
      </c>
      <c r="C825" s="19" t="e">
        <v>#N/A</v>
      </c>
      <c r="D825" s="7" t="s">
        <v>254</v>
      </c>
      <c r="E825" s="7" t="s">
        <v>569</v>
      </c>
      <c r="F825" s="37">
        <v>1</v>
      </c>
    </row>
    <row r="826" spans="2:6" x14ac:dyDescent="0.35">
      <c r="B826" s="34" t="s">
        <v>720</v>
      </c>
      <c r="C826" s="19" t="e">
        <v>#N/A</v>
      </c>
      <c r="D826" s="7" t="s">
        <v>256</v>
      </c>
      <c r="E826" s="7" t="s">
        <v>577</v>
      </c>
      <c r="F826" s="37">
        <v>1</v>
      </c>
    </row>
    <row r="827" spans="2:6" x14ac:dyDescent="0.35">
      <c r="B827" s="34" t="s">
        <v>720</v>
      </c>
      <c r="C827" s="19" t="e">
        <v>#N/A</v>
      </c>
      <c r="D827" s="7" t="s">
        <v>270</v>
      </c>
      <c r="E827" s="7" t="s">
        <v>570</v>
      </c>
      <c r="F827" s="37">
        <v>1</v>
      </c>
    </row>
    <row r="828" spans="2:6" x14ac:dyDescent="0.35">
      <c r="B828" s="34" t="s">
        <v>720</v>
      </c>
      <c r="C828" s="19" t="e">
        <v>#N/A</v>
      </c>
      <c r="D828" s="7" t="s">
        <v>272</v>
      </c>
      <c r="E828" s="7" t="s">
        <v>578</v>
      </c>
      <c r="F828" s="37">
        <v>1</v>
      </c>
    </row>
    <row r="829" spans="2:6" x14ac:dyDescent="0.35">
      <c r="B829" s="34" t="s">
        <v>720</v>
      </c>
      <c r="C829" s="19" t="e">
        <v>#N/A</v>
      </c>
      <c r="D829" s="7" t="s">
        <v>278</v>
      </c>
      <c r="E829" s="7" t="s">
        <v>549</v>
      </c>
      <c r="F829" s="37">
        <v>2</v>
      </c>
    </row>
    <row r="830" spans="2:6" x14ac:dyDescent="0.35">
      <c r="B830" s="34" t="s">
        <v>720</v>
      </c>
      <c r="C830" s="19" t="e">
        <v>#N/A</v>
      </c>
      <c r="D830" s="7" t="s">
        <v>288</v>
      </c>
      <c r="E830" s="7" t="s">
        <v>550</v>
      </c>
      <c r="F830" s="37">
        <v>2</v>
      </c>
    </row>
    <row r="831" spans="2:6" x14ac:dyDescent="0.35">
      <c r="B831" s="34" t="s">
        <v>720</v>
      </c>
      <c r="C831" s="19" t="e">
        <v>#N/A</v>
      </c>
      <c r="D831" s="7" t="s">
        <v>300</v>
      </c>
      <c r="E831" s="7" t="s">
        <v>571</v>
      </c>
      <c r="F831" s="37">
        <v>1</v>
      </c>
    </row>
    <row r="832" spans="2:6" x14ac:dyDescent="0.35">
      <c r="B832" s="34" t="s">
        <v>720</v>
      </c>
      <c r="C832" s="19" t="e">
        <v>#N/A</v>
      </c>
      <c r="D832" s="7" t="s">
        <v>302</v>
      </c>
      <c r="E832" s="7" t="s">
        <v>579</v>
      </c>
      <c r="F832" s="37">
        <v>1</v>
      </c>
    </row>
    <row r="833" spans="2:6" x14ac:dyDescent="0.35">
      <c r="B833" s="34" t="s">
        <v>720</v>
      </c>
      <c r="C833" s="19" t="e">
        <v>#N/A</v>
      </c>
      <c r="D833" s="7" t="s">
        <v>332</v>
      </c>
      <c r="E833" s="7" t="s">
        <v>552</v>
      </c>
      <c r="F833" s="37">
        <v>4</v>
      </c>
    </row>
    <row r="834" spans="2:6" x14ac:dyDescent="0.35">
      <c r="B834" s="34" t="s">
        <v>720</v>
      </c>
      <c r="C834" s="19" t="e">
        <v>#N/A</v>
      </c>
      <c r="D834" s="7" t="s">
        <v>334</v>
      </c>
      <c r="E834" s="7" t="s">
        <v>553</v>
      </c>
      <c r="F834" s="37">
        <v>2</v>
      </c>
    </row>
    <row r="835" spans="2:6" x14ac:dyDescent="0.35">
      <c r="B835" s="34" t="s">
        <v>720</v>
      </c>
      <c r="C835" s="19" t="e">
        <v>#N/A</v>
      </c>
      <c r="D835" s="7" t="s">
        <v>346</v>
      </c>
      <c r="E835" s="7" t="s">
        <v>554</v>
      </c>
      <c r="F835" s="37">
        <v>2</v>
      </c>
    </row>
    <row r="836" spans="2:6" x14ac:dyDescent="0.35">
      <c r="B836" s="34" t="s">
        <v>720</v>
      </c>
      <c r="C836" s="19" t="e">
        <v>#N/A</v>
      </c>
      <c r="D836" s="7" t="s">
        <v>356</v>
      </c>
      <c r="E836" s="7" t="s">
        <v>555</v>
      </c>
      <c r="F836" s="37">
        <v>2</v>
      </c>
    </row>
    <row r="837" spans="2:6" x14ac:dyDescent="0.35">
      <c r="B837" s="34" t="s">
        <v>720</v>
      </c>
      <c r="C837" s="19" t="e">
        <v>#N/A</v>
      </c>
      <c r="D837" s="7" t="s">
        <v>362</v>
      </c>
      <c r="E837" s="7" t="s">
        <v>556</v>
      </c>
      <c r="F837" s="37">
        <v>2</v>
      </c>
    </row>
    <row r="838" spans="2:6" x14ac:dyDescent="0.35">
      <c r="B838" s="34" t="s">
        <v>720</v>
      </c>
      <c r="C838" s="19" t="e">
        <v>#N/A</v>
      </c>
      <c r="D838" s="7" t="s">
        <v>364</v>
      </c>
      <c r="E838" s="7" t="s">
        <v>557</v>
      </c>
      <c r="F838" s="37">
        <v>4</v>
      </c>
    </row>
    <row r="839" spans="2:6" x14ac:dyDescent="0.35">
      <c r="B839" s="34" t="s">
        <v>720</v>
      </c>
      <c r="C839" s="19" t="e">
        <v>#N/A</v>
      </c>
      <c r="D839" s="7" t="s">
        <v>372</v>
      </c>
      <c r="E839" s="7" t="s">
        <v>558</v>
      </c>
      <c r="F839" s="37">
        <v>4</v>
      </c>
    </row>
    <row r="840" spans="2:6" x14ac:dyDescent="0.35">
      <c r="B840" s="34" t="s">
        <v>720</v>
      </c>
      <c r="C840" s="19" t="e">
        <v>#N/A</v>
      </c>
      <c r="D840" s="7" t="s">
        <v>380</v>
      </c>
      <c r="E840" s="7" t="s">
        <v>559</v>
      </c>
      <c r="F840" s="37">
        <v>2</v>
      </c>
    </row>
    <row r="841" spans="2:6" x14ac:dyDescent="0.35">
      <c r="B841" s="34" t="s">
        <v>720</v>
      </c>
      <c r="C841" s="19" t="e">
        <v>#N/A</v>
      </c>
      <c r="D841" s="7" t="s">
        <v>438</v>
      </c>
      <c r="E841" s="7" t="s">
        <v>560</v>
      </c>
      <c r="F841" s="37">
        <v>2</v>
      </c>
    </row>
    <row r="842" spans="2:6" x14ac:dyDescent="0.35">
      <c r="B842" s="34" t="s">
        <v>720</v>
      </c>
      <c r="C842" s="19" t="e">
        <v>#N/A</v>
      </c>
      <c r="D842" s="7" t="s">
        <v>480</v>
      </c>
      <c r="E842" s="7" t="s">
        <v>561</v>
      </c>
      <c r="F842" s="37">
        <v>0.01</v>
      </c>
    </row>
    <row r="843" spans="2:6" x14ac:dyDescent="0.35">
      <c r="B843" s="34" t="s">
        <v>720</v>
      </c>
      <c r="C843" s="19" t="e">
        <v>#N/A</v>
      </c>
      <c r="D843" s="7" t="s">
        <v>482</v>
      </c>
      <c r="E843" s="7" t="s">
        <v>562</v>
      </c>
      <c r="F843" s="37">
        <v>2E-3</v>
      </c>
    </row>
    <row r="844" spans="2:6" x14ac:dyDescent="0.35">
      <c r="B844" s="34" t="str">
        <f>"8638270059008010"</f>
        <v>8638270059008010</v>
      </c>
      <c r="C844" s="19" t="e">
        <v>#N/A</v>
      </c>
      <c r="D844" s="7" t="s">
        <v>484</v>
      </c>
      <c r="E844" s="7" t="s">
        <v>563</v>
      </c>
      <c r="F844" s="37">
        <v>4</v>
      </c>
    </row>
    <row r="845" spans="2:6" x14ac:dyDescent="0.35">
      <c r="B845" s="34" t="str">
        <f>"8638270080010410"</f>
        <v>8638270080010410</v>
      </c>
      <c r="C845" s="19" t="e">
        <v>#N/A</v>
      </c>
      <c r="D845" s="6" t="s">
        <v>40</v>
      </c>
      <c r="E845" s="7" t="s">
        <v>721</v>
      </c>
      <c r="F845" s="37">
        <v>1</v>
      </c>
    </row>
    <row r="846" spans="2:6" x14ac:dyDescent="0.35">
      <c r="B846" s="34" t="str">
        <f t="shared" ref="B846:B876" si="0">"8638270080010410"</f>
        <v>8638270080010410</v>
      </c>
      <c r="C846" s="19" t="e">
        <v>#N/A</v>
      </c>
      <c r="D846" s="7" t="s">
        <v>134</v>
      </c>
      <c r="E846" s="7" t="s">
        <v>574</v>
      </c>
      <c r="F846" s="37">
        <v>1</v>
      </c>
    </row>
    <row r="847" spans="2:6" x14ac:dyDescent="0.35">
      <c r="B847" s="34" t="str">
        <f t="shared" si="0"/>
        <v>8638270080010410</v>
      </c>
      <c r="C847" s="19" t="e">
        <v>#N/A</v>
      </c>
      <c r="D847" s="7" t="s">
        <v>136</v>
      </c>
      <c r="E847" s="7" t="s">
        <v>582</v>
      </c>
      <c r="F847" s="37">
        <v>1</v>
      </c>
    </row>
    <row r="848" spans="2:6" x14ac:dyDescent="0.35">
      <c r="B848" s="34" t="str">
        <f t="shared" si="0"/>
        <v>8638270080010410</v>
      </c>
      <c r="C848" s="19" t="e">
        <v>#N/A</v>
      </c>
      <c r="D848" s="6" t="s">
        <v>164</v>
      </c>
      <c r="E848" s="7" t="s">
        <v>575</v>
      </c>
      <c r="F848" s="37">
        <v>1</v>
      </c>
    </row>
    <row r="849" spans="2:6" x14ac:dyDescent="0.35">
      <c r="B849" s="34" t="str">
        <f t="shared" si="0"/>
        <v>8638270080010410</v>
      </c>
      <c r="C849" s="19" t="e">
        <v>#N/A</v>
      </c>
      <c r="D849" s="6" t="s">
        <v>166</v>
      </c>
      <c r="E849" s="7" t="s">
        <v>576</v>
      </c>
      <c r="F849" s="37">
        <v>1</v>
      </c>
    </row>
    <row r="850" spans="2:6" x14ac:dyDescent="0.35">
      <c r="B850" s="34" t="str">
        <f t="shared" si="0"/>
        <v>8638270080010410</v>
      </c>
      <c r="C850" s="19" t="e">
        <v>#N/A</v>
      </c>
      <c r="D850" s="6" t="s">
        <v>168</v>
      </c>
      <c r="E850" s="7" t="s">
        <v>583</v>
      </c>
      <c r="F850" s="37">
        <v>1</v>
      </c>
    </row>
    <row r="851" spans="2:6" x14ac:dyDescent="0.35">
      <c r="B851" s="34" t="str">
        <f t="shared" si="0"/>
        <v>8638270080010410</v>
      </c>
      <c r="C851" s="19" t="e">
        <v>#N/A</v>
      </c>
      <c r="D851" s="6" t="s">
        <v>170</v>
      </c>
      <c r="E851" s="7" t="s">
        <v>584</v>
      </c>
      <c r="F851" s="37">
        <v>1</v>
      </c>
    </row>
    <row r="852" spans="2:6" x14ac:dyDescent="0.35">
      <c r="B852" s="34" t="str">
        <f t="shared" si="0"/>
        <v>8638270080010410</v>
      </c>
      <c r="C852" s="19" t="e">
        <v>#N/A</v>
      </c>
      <c r="D852" s="7" t="s">
        <v>256</v>
      </c>
      <c r="E852" s="7" t="s">
        <v>577</v>
      </c>
      <c r="F852" s="37">
        <v>1</v>
      </c>
    </row>
    <row r="853" spans="2:6" x14ac:dyDescent="0.35">
      <c r="B853" s="34" t="str">
        <f t="shared" si="0"/>
        <v>8638270080010410</v>
      </c>
      <c r="C853" s="19" t="e">
        <v>#N/A</v>
      </c>
      <c r="D853" s="7" t="s">
        <v>258</v>
      </c>
      <c r="E853" s="7" t="s">
        <v>585</v>
      </c>
      <c r="F853" s="37">
        <v>1</v>
      </c>
    </row>
    <row r="854" spans="2:6" x14ac:dyDescent="0.35">
      <c r="B854" s="34" t="str">
        <f t="shared" si="0"/>
        <v>8638270080010410</v>
      </c>
      <c r="C854" s="19" t="e">
        <v>#N/A</v>
      </c>
      <c r="D854" s="7" t="s">
        <v>272</v>
      </c>
      <c r="E854" s="7" t="s">
        <v>578</v>
      </c>
      <c r="F854" s="37">
        <v>1</v>
      </c>
    </row>
    <row r="855" spans="2:6" x14ac:dyDescent="0.35">
      <c r="B855" s="34" t="str">
        <f t="shared" si="0"/>
        <v>8638270080010410</v>
      </c>
      <c r="C855" s="19" t="e">
        <v>#N/A</v>
      </c>
      <c r="D855" s="7" t="s">
        <v>274</v>
      </c>
      <c r="E855" s="7" t="s">
        <v>586</v>
      </c>
      <c r="F855" s="37">
        <v>1</v>
      </c>
    </row>
    <row r="856" spans="2:6" x14ac:dyDescent="0.35">
      <c r="B856" s="34" t="str">
        <f t="shared" si="0"/>
        <v>8638270080010410</v>
      </c>
      <c r="C856" s="19" t="e">
        <v>#N/A</v>
      </c>
      <c r="D856" s="7" t="s">
        <v>280</v>
      </c>
      <c r="E856" s="7" t="s">
        <v>631</v>
      </c>
      <c r="F856" s="37">
        <v>1</v>
      </c>
    </row>
    <row r="857" spans="2:6" x14ac:dyDescent="0.35">
      <c r="B857" s="34" t="str">
        <f t="shared" si="0"/>
        <v>8638270080010410</v>
      </c>
      <c r="C857" s="19" t="e">
        <v>#N/A</v>
      </c>
      <c r="D857" s="7" t="s">
        <v>284</v>
      </c>
      <c r="E857" s="7" t="s">
        <v>587</v>
      </c>
      <c r="F857" s="37">
        <v>1</v>
      </c>
    </row>
    <row r="858" spans="2:6" x14ac:dyDescent="0.35">
      <c r="B858" s="34" t="str">
        <f t="shared" si="0"/>
        <v>8638270080010410</v>
      </c>
      <c r="C858" s="19" t="e">
        <v>#N/A</v>
      </c>
      <c r="D858" s="7" t="s">
        <v>290</v>
      </c>
      <c r="E858" s="7" t="s">
        <v>632</v>
      </c>
      <c r="F858" s="37">
        <v>1</v>
      </c>
    </row>
    <row r="859" spans="2:6" x14ac:dyDescent="0.35">
      <c r="B859" s="34" t="str">
        <f t="shared" si="0"/>
        <v>8638270080010410</v>
      </c>
      <c r="C859" s="19" t="e">
        <v>#N/A</v>
      </c>
      <c r="D859" s="7" t="s">
        <v>294</v>
      </c>
      <c r="E859" s="7" t="s">
        <v>588</v>
      </c>
      <c r="F859" s="37">
        <v>1</v>
      </c>
    </row>
    <row r="860" spans="2:6" x14ac:dyDescent="0.35">
      <c r="B860" s="34" t="str">
        <f t="shared" si="0"/>
        <v>8638270080010410</v>
      </c>
      <c r="C860" s="19" t="e">
        <v>#N/A</v>
      </c>
      <c r="D860" s="7" t="s">
        <v>302</v>
      </c>
      <c r="E860" s="7" t="s">
        <v>579</v>
      </c>
      <c r="F860" s="37">
        <v>1</v>
      </c>
    </row>
    <row r="861" spans="2:6" x14ac:dyDescent="0.35">
      <c r="B861" s="34" t="str">
        <f t="shared" si="0"/>
        <v>8638270080010410</v>
      </c>
      <c r="C861" s="19" t="e">
        <v>#N/A</v>
      </c>
      <c r="D861" s="7" t="s">
        <v>304</v>
      </c>
      <c r="E861" s="7" t="s">
        <v>589</v>
      </c>
      <c r="F861" s="37">
        <v>1</v>
      </c>
    </row>
    <row r="862" spans="2:6" x14ac:dyDescent="0.35">
      <c r="B862" s="34" t="str">
        <f t="shared" si="0"/>
        <v>8638270080010410</v>
      </c>
      <c r="C862" s="19" t="e">
        <v>#N/A</v>
      </c>
      <c r="D862" s="7" t="s">
        <v>332</v>
      </c>
      <c r="E862" s="7" t="s">
        <v>552</v>
      </c>
      <c r="F862" s="37">
        <v>4</v>
      </c>
    </row>
    <row r="863" spans="2:6" x14ac:dyDescent="0.35">
      <c r="B863" s="34" t="str">
        <f t="shared" si="0"/>
        <v>8638270080010410</v>
      </c>
      <c r="C863" s="19" t="e">
        <v>#N/A</v>
      </c>
      <c r="D863" s="7" t="s">
        <v>338</v>
      </c>
      <c r="E863" s="7" t="s">
        <v>590</v>
      </c>
      <c r="F863" s="37">
        <v>2</v>
      </c>
    </row>
    <row r="864" spans="2:6" x14ac:dyDescent="0.35">
      <c r="B864" s="34" t="str">
        <f t="shared" si="0"/>
        <v>8638270080010410</v>
      </c>
      <c r="C864" s="19" t="e">
        <v>#N/A</v>
      </c>
      <c r="D864" s="7" t="s">
        <v>346</v>
      </c>
      <c r="E864" s="7" t="s">
        <v>554</v>
      </c>
      <c r="F864" s="37">
        <v>1</v>
      </c>
    </row>
    <row r="865" spans="2:6" x14ac:dyDescent="0.35">
      <c r="B865" s="34" t="str">
        <f t="shared" si="0"/>
        <v>8638270080010410</v>
      </c>
      <c r="C865" s="19" t="e">
        <v>#N/A</v>
      </c>
      <c r="D865" s="7" t="s">
        <v>348</v>
      </c>
      <c r="E865" s="7" t="s">
        <v>591</v>
      </c>
      <c r="F865" s="37">
        <v>1</v>
      </c>
    </row>
    <row r="866" spans="2:6" x14ac:dyDescent="0.35">
      <c r="B866" s="34" t="str">
        <f t="shared" si="0"/>
        <v>8638270080010410</v>
      </c>
      <c r="C866" s="19" t="e">
        <v>#N/A</v>
      </c>
      <c r="D866" s="7" t="s">
        <v>358</v>
      </c>
      <c r="E866" s="7" t="s">
        <v>592</v>
      </c>
      <c r="F866" s="37">
        <v>2</v>
      </c>
    </row>
    <row r="867" spans="2:6" x14ac:dyDescent="0.35">
      <c r="B867" s="34" t="str">
        <f t="shared" si="0"/>
        <v>8638270080010410</v>
      </c>
      <c r="C867" s="19" t="e">
        <v>#N/A</v>
      </c>
      <c r="D867" s="7" t="s">
        <v>360</v>
      </c>
      <c r="E867" s="7" t="s">
        <v>593</v>
      </c>
      <c r="F867" s="37">
        <v>1</v>
      </c>
    </row>
    <row r="868" spans="2:6" x14ac:dyDescent="0.35">
      <c r="B868" s="34" t="str">
        <f t="shared" si="0"/>
        <v>8638270080010410</v>
      </c>
      <c r="C868" s="19" t="e">
        <v>#N/A</v>
      </c>
      <c r="D868" s="7" t="s">
        <v>362</v>
      </c>
      <c r="E868" s="7" t="s">
        <v>556</v>
      </c>
      <c r="F868" s="37">
        <v>1</v>
      </c>
    </row>
    <row r="869" spans="2:6" x14ac:dyDescent="0.35">
      <c r="B869" s="34" t="str">
        <f t="shared" si="0"/>
        <v>8638270080010410</v>
      </c>
      <c r="C869" s="19" t="e">
        <v>#N/A</v>
      </c>
      <c r="D869" s="7" t="s">
        <v>364</v>
      </c>
      <c r="E869" s="7" t="s">
        <v>557</v>
      </c>
      <c r="F869" s="37">
        <v>4</v>
      </c>
    </row>
    <row r="870" spans="2:6" x14ac:dyDescent="0.35">
      <c r="B870" s="34" t="str">
        <f t="shared" si="0"/>
        <v>8638270080010410</v>
      </c>
      <c r="C870" s="19" t="e">
        <v>#N/A</v>
      </c>
      <c r="D870" s="7" t="s">
        <v>370</v>
      </c>
      <c r="E870" s="7" t="s">
        <v>594</v>
      </c>
      <c r="F870" s="37">
        <v>1</v>
      </c>
    </row>
    <row r="871" spans="2:6" x14ac:dyDescent="0.35">
      <c r="B871" s="34" t="str">
        <f t="shared" si="0"/>
        <v>8638270080010410</v>
      </c>
      <c r="C871" s="19" t="e">
        <v>#N/A</v>
      </c>
      <c r="D871" s="7" t="s">
        <v>372</v>
      </c>
      <c r="E871" s="7" t="s">
        <v>558</v>
      </c>
      <c r="F871" s="37">
        <v>4</v>
      </c>
    </row>
    <row r="872" spans="2:6" x14ac:dyDescent="0.35">
      <c r="B872" s="34" t="str">
        <f t="shared" si="0"/>
        <v>8638270080010410</v>
      </c>
      <c r="C872" s="19" t="e">
        <v>#N/A</v>
      </c>
      <c r="D872" s="7" t="s">
        <v>382</v>
      </c>
      <c r="E872" s="7" t="s">
        <v>595</v>
      </c>
      <c r="F872" s="37">
        <v>2</v>
      </c>
    </row>
    <row r="873" spans="2:6" x14ac:dyDescent="0.35">
      <c r="B873" s="34" t="str">
        <f t="shared" si="0"/>
        <v>8638270080010410</v>
      </c>
      <c r="C873" s="19" t="e">
        <v>#N/A</v>
      </c>
      <c r="D873" s="7" t="s">
        <v>438</v>
      </c>
      <c r="E873" s="7" t="s">
        <v>560</v>
      </c>
      <c r="F873" s="37">
        <v>1</v>
      </c>
    </row>
    <row r="874" spans="2:6" x14ac:dyDescent="0.35">
      <c r="B874" s="34" t="str">
        <f t="shared" si="0"/>
        <v>8638270080010410</v>
      </c>
      <c r="C874" s="19" t="e">
        <v>#N/A</v>
      </c>
      <c r="D874" s="7" t="s">
        <v>480</v>
      </c>
      <c r="E874" s="7" t="s">
        <v>561</v>
      </c>
      <c r="F874" s="37">
        <v>0.01</v>
      </c>
    </row>
    <row r="875" spans="2:6" x14ac:dyDescent="0.35">
      <c r="B875" s="34" t="str">
        <f t="shared" si="0"/>
        <v>8638270080010410</v>
      </c>
      <c r="C875" s="19" t="e">
        <v>#N/A</v>
      </c>
      <c r="D875" s="7" t="s">
        <v>482</v>
      </c>
      <c r="E875" s="7" t="s">
        <v>562</v>
      </c>
      <c r="F875" s="37">
        <v>2E-3</v>
      </c>
    </row>
    <row r="876" spans="2:6" x14ac:dyDescent="0.35">
      <c r="B876" s="34" t="str">
        <f t="shared" si="0"/>
        <v>8638270080010410</v>
      </c>
      <c r="C876" s="19" t="e">
        <v>#N/A</v>
      </c>
      <c r="D876" s="7" t="s">
        <v>484</v>
      </c>
      <c r="E876" s="7" t="s">
        <v>563</v>
      </c>
      <c r="F876" s="37">
        <v>4</v>
      </c>
    </row>
    <row r="877" spans="2:6" x14ac:dyDescent="0.35">
      <c r="B877" s="19" t="str">
        <f>"8638270080010416"</f>
        <v>8638270080010416</v>
      </c>
      <c r="C877" s="19" t="s">
        <v>888</v>
      </c>
      <c r="D877" s="6" t="s">
        <v>40</v>
      </c>
      <c r="E877" s="7" t="s">
        <v>721</v>
      </c>
      <c r="F877" s="37">
        <v>1</v>
      </c>
    </row>
    <row r="878" spans="2:6" x14ac:dyDescent="0.35">
      <c r="B878" s="19" t="str">
        <f t="shared" ref="B878:B908" si="1">"8638270080010416"</f>
        <v>8638270080010416</v>
      </c>
      <c r="C878" s="19" t="s">
        <v>888</v>
      </c>
      <c r="D878" s="7" t="s">
        <v>134</v>
      </c>
      <c r="E878" s="7" t="s">
        <v>574</v>
      </c>
      <c r="F878" s="37">
        <v>1</v>
      </c>
    </row>
    <row r="879" spans="2:6" x14ac:dyDescent="0.35">
      <c r="B879" s="19" t="str">
        <f t="shared" si="1"/>
        <v>8638270080010416</v>
      </c>
      <c r="C879" s="19" t="s">
        <v>888</v>
      </c>
      <c r="D879" s="7" t="s">
        <v>136</v>
      </c>
      <c r="E879" s="7" t="s">
        <v>582</v>
      </c>
      <c r="F879" s="37">
        <v>1</v>
      </c>
    </row>
    <row r="880" spans="2:6" x14ac:dyDescent="0.35">
      <c r="B880" s="19" t="str">
        <f t="shared" si="1"/>
        <v>8638270080010416</v>
      </c>
      <c r="C880" s="19" t="s">
        <v>888</v>
      </c>
      <c r="D880" s="6" t="s">
        <v>164</v>
      </c>
      <c r="E880" s="7" t="s">
        <v>575</v>
      </c>
      <c r="F880" s="37">
        <v>1</v>
      </c>
    </row>
    <row r="881" spans="2:6" x14ac:dyDescent="0.35">
      <c r="B881" s="19" t="str">
        <f t="shared" si="1"/>
        <v>8638270080010416</v>
      </c>
      <c r="C881" s="19" t="s">
        <v>888</v>
      </c>
      <c r="D881" s="6" t="s">
        <v>166</v>
      </c>
      <c r="E881" s="7" t="s">
        <v>576</v>
      </c>
      <c r="F881" s="37">
        <v>1</v>
      </c>
    </row>
    <row r="882" spans="2:6" x14ac:dyDescent="0.35">
      <c r="B882" s="19" t="str">
        <f t="shared" si="1"/>
        <v>8638270080010416</v>
      </c>
      <c r="C882" s="19" t="s">
        <v>888</v>
      </c>
      <c r="D882" s="6" t="s">
        <v>168</v>
      </c>
      <c r="E882" s="7" t="s">
        <v>583</v>
      </c>
      <c r="F882" s="37">
        <v>1</v>
      </c>
    </row>
    <row r="883" spans="2:6" x14ac:dyDescent="0.35">
      <c r="B883" s="19" t="str">
        <f t="shared" si="1"/>
        <v>8638270080010416</v>
      </c>
      <c r="C883" s="19" t="s">
        <v>888</v>
      </c>
      <c r="D883" s="6" t="s">
        <v>170</v>
      </c>
      <c r="E883" s="7" t="s">
        <v>584</v>
      </c>
      <c r="F883" s="37">
        <v>1</v>
      </c>
    </row>
    <row r="884" spans="2:6" x14ac:dyDescent="0.35">
      <c r="B884" s="19" t="str">
        <f t="shared" si="1"/>
        <v>8638270080010416</v>
      </c>
      <c r="C884" s="19" t="s">
        <v>888</v>
      </c>
      <c r="D884" s="7" t="s">
        <v>256</v>
      </c>
      <c r="E884" s="7" t="s">
        <v>577</v>
      </c>
      <c r="F884" s="37">
        <v>1</v>
      </c>
    </row>
    <row r="885" spans="2:6" x14ac:dyDescent="0.35">
      <c r="B885" s="19" t="str">
        <f t="shared" si="1"/>
        <v>8638270080010416</v>
      </c>
      <c r="C885" s="19" t="s">
        <v>888</v>
      </c>
      <c r="D885" s="7" t="s">
        <v>258</v>
      </c>
      <c r="E885" s="7" t="s">
        <v>585</v>
      </c>
      <c r="F885" s="37">
        <v>1</v>
      </c>
    </row>
    <row r="886" spans="2:6" x14ac:dyDescent="0.35">
      <c r="B886" s="19" t="str">
        <f t="shared" si="1"/>
        <v>8638270080010416</v>
      </c>
      <c r="C886" s="19" t="s">
        <v>888</v>
      </c>
      <c r="D886" s="7" t="s">
        <v>272</v>
      </c>
      <c r="E886" s="7" t="s">
        <v>578</v>
      </c>
      <c r="F886" s="37">
        <v>1</v>
      </c>
    </row>
    <row r="887" spans="2:6" x14ac:dyDescent="0.35">
      <c r="B887" s="19" t="str">
        <f t="shared" si="1"/>
        <v>8638270080010416</v>
      </c>
      <c r="C887" s="19" t="s">
        <v>888</v>
      </c>
      <c r="D887" s="7" t="s">
        <v>274</v>
      </c>
      <c r="E887" s="7" t="s">
        <v>586</v>
      </c>
      <c r="F887" s="37">
        <v>1</v>
      </c>
    </row>
    <row r="888" spans="2:6" x14ac:dyDescent="0.35">
      <c r="B888" s="19" t="str">
        <f t="shared" si="1"/>
        <v>8638270080010416</v>
      </c>
      <c r="C888" s="19" t="s">
        <v>888</v>
      </c>
      <c r="D888" s="7" t="s">
        <v>280</v>
      </c>
      <c r="E888" s="7" t="s">
        <v>631</v>
      </c>
      <c r="F888" s="37">
        <v>1</v>
      </c>
    </row>
    <row r="889" spans="2:6" x14ac:dyDescent="0.35">
      <c r="B889" s="19" t="str">
        <f t="shared" si="1"/>
        <v>8638270080010416</v>
      </c>
      <c r="C889" s="19" t="s">
        <v>888</v>
      </c>
      <c r="D889" s="7" t="s">
        <v>284</v>
      </c>
      <c r="E889" s="7" t="s">
        <v>587</v>
      </c>
      <c r="F889" s="37">
        <v>1</v>
      </c>
    </row>
    <row r="890" spans="2:6" x14ac:dyDescent="0.35">
      <c r="B890" s="19" t="str">
        <f t="shared" si="1"/>
        <v>8638270080010416</v>
      </c>
      <c r="C890" s="19" t="s">
        <v>888</v>
      </c>
      <c r="D890" s="7" t="s">
        <v>290</v>
      </c>
      <c r="E890" s="7" t="s">
        <v>632</v>
      </c>
      <c r="F890" s="37">
        <v>1</v>
      </c>
    </row>
    <row r="891" spans="2:6" x14ac:dyDescent="0.35">
      <c r="B891" s="19" t="str">
        <f t="shared" si="1"/>
        <v>8638270080010416</v>
      </c>
      <c r="C891" s="19" t="s">
        <v>888</v>
      </c>
      <c r="D891" s="7" t="s">
        <v>294</v>
      </c>
      <c r="E891" s="7" t="s">
        <v>588</v>
      </c>
      <c r="F891" s="37">
        <v>1</v>
      </c>
    </row>
    <row r="892" spans="2:6" x14ac:dyDescent="0.35">
      <c r="B892" s="19" t="str">
        <f t="shared" si="1"/>
        <v>8638270080010416</v>
      </c>
      <c r="C892" s="19" t="s">
        <v>888</v>
      </c>
      <c r="D892" s="7" t="s">
        <v>302</v>
      </c>
      <c r="E892" s="7" t="s">
        <v>579</v>
      </c>
      <c r="F892" s="37">
        <v>1</v>
      </c>
    </row>
    <row r="893" spans="2:6" x14ac:dyDescent="0.35">
      <c r="B893" s="19" t="str">
        <f t="shared" si="1"/>
        <v>8638270080010416</v>
      </c>
      <c r="C893" s="19" t="s">
        <v>888</v>
      </c>
      <c r="D893" s="7" t="s">
        <v>304</v>
      </c>
      <c r="E893" s="7" t="s">
        <v>589</v>
      </c>
      <c r="F893" s="37">
        <v>1</v>
      </c>
    </row>
    <row r="894" spans="2:6" x14ac:dyDescent="0.35">
      <c r="B894" s="19" t="str">
        <f t="shared" si="1"/>
        <v>8638270080010416</v>
      </c>
      <c r="C894" s="19" t="s">
        <v>888</v>
      </c>
      <c r="D894" s="7" t="s">
        <v>332</v>
      </c>
      <c r="E894" s="7" t="s">
        <v>552</v>
      </c>
      <c r="F894" s="37">
        <v>4</v>
      </c>
    </row>
    <row r="895" spans="2:6" x14ac:dyDescent="0.35">
      <c r="B895" s="19" t="str">
        <f t="shared" si="1"/>
        <v>8638270080010416</v>
      </c>
      <c r="C895" s="19" t="s">
        <v>888</v>
      </c>
      <c r="D895" s="7" t="s">
        <v>338</v>
      </c>
      <c r="E895" s="7" t="s">
        <v>590</v>
      </c>
      <c r="F895" s="37">
        <v>2</v>
      </c>
    </row>
    <row r="896" spans="2:6" x14ac:dyDescent="0.35">
      <c r="B896" s="19" t="str">
        <f t="shared" si="1"/>
        <v>8638270080010416</v>
      </c>
      <c r="C896" s="19" t="s">
        <v>888</v>
      </c>
      <c r="D896" s="7" t="s">
        <v>346</v>
      </c>
      <c r="E896" s="7" t="s">
        <v>554</v>
      </c>
      <c r="F896" s="37">
        <v>1</v>
      </c>
    </row>
    <row r="897" spans="2:6" x14ac:dyDescent="0.35">
      <c r="B897" s="19" t="str">
        <f t="shared" si="1"/>
        <v>8638270080010416</v>
      </c>
      <c r="C897" s="19" t="s">
        <v>888</v>
      </c>
      <c r="D897" s="7" t="s">
        <v>348</v>
      </c>
      <c r="E897" s="7" t="s">
        <v>591</v>
      </c>
      <c r="F897" s="37">
        <v>1</v>
      </c>
    </row>
    <row r="898" spans="2:6" x14ac:dyDescent="0.35">
      <c r="B898" s="19" t="str">
        <f t="shared" si="1"/>
        <v>8638270080010416</v>
      </c>
      <c r="C898" s="19" t="s">
        <v>888</v>
      </c>
      <c r="D898" s="7" t="s">
        <v>358</v>
      </c>
      <c r="E898" s="7" t="s">
        <v>592</v>
      </c>
      <c r="F898" s="37">
        <v>2</v>
      </c>
    </row>
    <row r="899" spans="2:6" x14ac:dyDescent="0.35">
      <c r="B899" s="19" t="str">
        <f t="shared" si="1"/>
        <v>8638270080010416</v>
      </c>
      <c r="C899" s="19" t="s">
        <v>888</v>
      </c>
      <c r="D899" s="7" t="s">
        <v>360</v>
      </c>
      <c r="E899" s="7" t="s">
        <v>593</v>
      </c>
      <c r="F899" s="37">
        <v>1</v>
      </c>
    </row>
    <row r="900" spans="2:6" x14ac:dyDescent="0.35">
      <c r="B900" s="19" t="str">
        <f t="shared" si="1"/>
        <v>8638270080010416</v>
      </c>
      <c r="C900" s="19" t="s">
        <v>888</v>
      </c>
      <c r="D900" s="7" t="s">
        <v>362</v>
      </c>
      <c r="E900" s="7" t="s">
        <v>556</v>
      </c>
      <c r="F900" s="37">
        <v>1</v>
      </c>
    </row>
    <row r="901" spans="2:6" x14ac:dyDescent="0.35">
      <c r="B901" s="19" t="str">
        <f t="shared" si="1"/>
        <v>8638270080010416</v>
      </c>
      <c r="C901" s="19" t="s">
        <v>888</v>
      </c>
      <c r="D901" s="7" t="s">
        <v>364</v>
      </c>
      <c r="E901" s="7" t="s">
        <v>557</v>
      </c>
      <c r="F901" s="37">
        <v>4</v>
      </c>
    </row>
    <row r="902" spans="2:6" x14ac:dyDescent="0.35">
      <c r="B902" s="19" t="str">
        <f t="shared" si="1"/>
        <v>8638270080010416</v>
      </c>
      <c r="C902" s="19" t="s">
        <v>888</v>
      </c>
      <c r="D902" s="7" t="s">
        <v>370</v>
      </c>
      <c r="E902" s="7" t="s">
        <v>594</v>
      </c>
      <c r="F902" s="37">
        <v>1</v>
      </c>
    </row>
    <row r="903" spans="2:6" x14ac:dyDescent="0.35">
      <c r="B903" s="19" t="str">
        <f t="shared" si="1"/>
        <v>8638270080010416</v>
      </c>
      <c r="C903" s="19" t="s">
        <v>888</v>
      </c>
      <c r="D903" s="7" t="s">
        <v>372</v>
      </c>
      <c r="E903" s="7" t="s">
        <v>558</v>
      </c>
      <c r="F903" s="37">
        <v>4</v>
      </c>
    </row>
    <row r="904" spans="2:6" x14ac:dyDescent="0.35">
      <c r="B904" s="19" t="str">
        <f t="shared" si="1"/>
        <v>8638270080010416</v>
      </c>
      <c r="C904" s="19" t="s">
        <v>888</v>
      </c>
      <c r="D904" s="7" t="s">
        <v>382</v>
      </c>
      <c r="E904" s="7" t="s">
        <v>595</v>
      </c>
      <c r="F904" s="37">
        <v>2</v>
      </c>
    </row>
    <row r="905" spans="2:6" x14ac:dyDescent="0.35">
      <c r="B905" s="19" t="str">
        <f t="shared" si="1"/>
        <v>8638270080010416</v>
      </c>
      <c r="C905" s="19" t="s">
        <v>888</v>
      </c>
      <c r="D905" s="7" t="s">
        <v>438</v>
      </c>
      <c r="E905" s="7" t="s">
        <v>560</v>
      </c>
      <c r="F905" s="37">
        <v>1</v>
      </c>
    </row>
    <row r="906" spans="2:6" x14ac:dyDescent="0.35">
      <c r="B906" s="19" t="str">
        <f t="shared" si="1"/>
        <v>8638270080010416</v>
      </c>
      <c r="C906" s="19" t="s">
        <v>888</v>
      </c>
      <c r="D906" s="7" t="s">
        <v>480</v>
      </c>
      <c r="E906" s="7" t="s">
        <v>561</v>
      </c>
      <c r="F906" s="37">
        <v>0.01</v>
      </c>
    </row>
    <row r="907" spans="2:6" x14ac:dyDescent="0.35">
      <c r="B907" s="19" t="str">
        <f t="shared" si="1"/>
        <v>8638270080010416</v>
      </c>
      <c r="C907" s="19" t="s">
        <v>888</v>
      </c>
      <c r="D907" s="7" t="s">
        <v>482</v>
      </c>
      <c r="E907" s="7" t="s">
        <v>562</v>
      </c>
      <c r="F907" s="37">
        <v>2E-3</v>
      </c>
    </row>
    <row r="908" spans="2:6" x14ac:dyDescent="0.35">
      <c r="B908" s="19" t="str">
        <f t="shared" si="1"/>
        <v>8638270080010416</v>
      </c>
      <c r="C908" s="19" t="s">
        <v>888</v>
      </c>
      <c r="D908" s="7" t="s">
        <v>484</v>
      </c>
      <c r="E908" s="7" t="s">
        <v>563</v>
      </c>
      <c r="F908" s="37">
        <v>4</v>
      </c>
    </row>
    <row r="909" spans="2:6" x14ac:dyDescent="0.35">
      <c r="B909" s="19" t="s">
        <v>722</v>
      </c>
      <c r="C909" s="19" t="s">
        <v>915</v>
      </c>
      <c r="D909" s="6" t="s">
        <v>116</v>
      </c>
      <c r="E909" s="7" t="s">
        <v>723</v>
      </c>
      <c r="F909" s="37">
        <v>2</v>
      </c>
    </row>
    <row r="910" spans="2:6" x14ac:dyDescent="0.35">
      <c r="B910" s="19" t="s">
        <v>722</v>
      </c>
      <c r="C910" s="19" t="s">
        <v>915</v>
      </c>
      <c r="D910" s="7" t="s">
        <v>516</v>
      </c>
      <c r="E910" s="7" t="s">
        <v>724</v>
      </c>
      <c r="F910" s="37">
        <v>2</v>
      </c>
    </row>
    <row r="911" spans="2:6" x14ac:dyDescent="0.35">
      <c r="B911" s="19" t="s">
        <v>722</v>
      </c>
      <c r="C911" s="19" t="s">
        <v>915</v>
      </c>
      <c r="D911" s="7" t="s">
        <v>521</v>
      </c>
      <c r="E911" s="7" t="s">
        <v>725</v>
      </c>
      <c r="F911" s="37">
        <v>1</v>
      </c>
    </row>
    <row r="912" spans="2:6" x14ac:dyDescent="0.35">
      <c r="B912" s="19" t="s">
        <v>722</v>
      </c>
      <c r="C912" s="19" t="s">
        <v>915</v>
      </c>
      <c r="D912" s="6" t="s">
        <v>172</v>
      </c>
      <c r="E912" s="7" t="s">
        <v>726</v>
      </c>
      <c r="F912" s="37">
        <v>2</v>
      </c>
    </row>
    <row r="913" spans="2:6" x14ac:dyDescent="0.35">
      <c r="B913" s="19" t="s">
        <v>722</v>
      </c>
      <c r="C913" s="19" t="s">
        <v>915</v>
      </c>
      <c r="D913" s="6" t="s">
        <v>174</v>
      </c>
      <c r="E913" s="7" t="s">
        <v>727</v>
      </c>
      <c r="F913" s="37">
        <v>2</v>
      </c>
    </row>
    <row r="914" spans="2:6" x14ac:dyDescent="0.35">
      <c r="B914" s="19" t="s">
        <v>722</v>
      </c>
      <c r="C914" s="19" t="s">
        <v>915</v>
      </c>
      <c r="D914" s="6" t="s">
        <v>212</v>
      </c>
      <c r="E914" s="7" t="s">
        <v>728</v>
      </c>
      <c r="F914" s="37">
        <v>2</v>
      </c>
    </row>
    <row r="915" spans="2:6" x14ac:dyDescent="0.35">
      <c r="B915" s="19" t="s">
        <v>722</v>
      </c>
      <c r="C915" s="19" t="s">
        <v>915</v>
      </c>
      <c r="D915" s="7" t="s">
        <v>218</v>
      </c>
      <c r="E915" s="7" t="s">
        <v>729</v>
      </c>
      <c r="F915" s="37">
        <v>2</v>
      </c>
    </row>
    <row r="916" spans="2:6" x14ac:dyDescent="0.35">
      <c r="B916" s="19" t="s">
        <v>722</v>
      </c>
      <c r="C916" s="19" t="s">
        <v>915</v>
      </c>
      <c r="D916" s="7" t="s">
        <v>262</v>
      </c>
      <c r="E916" s="7" t="s">
        <v>730</v>
      </c>
      <c r="F916" s="37">
        <v>1</v>
      </c>
    </row>
    <row r="917" spans="2:6" x14ac:dyDescent="0.35">
      <c r="B917" s="19" t="s">
        <v>722</v>
      </c>
      <c r="C917" s="19" t="s">
        <v>915</v>
      </c>
      <c r="D917" s="7" t="s">
        <v>282</v>
      </c>
      <c r="E917" s="7" t="s">
        <v>731</v>
      </c>
      <c r="F917" s="37">
        <v>3</v>
      </c>
    </row>
    <row r="918" spans="2:6" x14ac:dyDescent="0.35">
      <c r="B918" s="19" t="s">
        <v>722</v>
      </c>
      <c r="C918" s="19" t="s">
        <v>915</v>
      </c>
      <c r="D918" s="7" t="s">
        <v>292</v>
      </c>
      <c r="E918" s="7" t="s">
        <v>732</v>
      </c>
      <c r="F918" s="37">
        <v>3</v>
      </c>
    </row>
    <row r="919" spans="2:6" x14ac:dyDescent="0.35">
      <c r="B919" s="19" t="s">
        <v>722</v>
      </c>
      <c r="C919" s="19" t="s">
        <v>915</v>
      </c>
      <c r="D919" s="7" t="s">
        <v>528</v>
      </c>
      <c r="E919" s="7" t="s">
        <v>733</v>
      </c>
      <c r="F919" s="37">
        <v>4</v>
      </c>
    </row>
    <row r="920" spans="2:6" x14ac:dyDescent="0.35">
      <c r="B920" s="19" t="s">
        <v>722</v>
      </c>
      <c r="C920" s="19" t="s">
        <v>915</v>
      </c>
      <c r="D920" s="7" t="s">
        <v>324</v>
      </c>
      <c r="E920" s="7" t="s">
        <v>734</v>
      </c>
      <c r="F920" s="37">
        <v>1</v>
      </c>
    </row>
    <row r="921" spans="2:6" x14ac:dyDescent="0.35">
      <c r="B921" s="19" t="s">
        <v>722</v>
      </c>
      <c r="C921" s="19" t="s">
        <v>915</v>
      </c>
      <c r="D921" s="7" t="s">
        <v>326</v>
      </c>
      <c r="E921" s="7" t="s">
        <v>735</v>
      </c>
      <c r="F921" s="37">
        <v>2</v>
      </c>
    </row>
    <row r="922" spans="2:6" x14ac:dyDescent="0.35">
      <c r="B922" s="19" t="s">
        <v>722</v>
      </c>
      <c r="C922" s="19" t="s">
        <v>915</v>
      </c>
      <c r="D922" s="7" t="s">
        <v>332</v>
      </c>
      <c r="E922" s="7" t="s">
        <v>552</v>
      </c>
      <c r="F922" s="37">
        <v>4</v>
      </c>
    </row>
    <row r="923" spans="2:6" x14ac:dyDescent="0.35">
      <c r="B923" s="19" t="s">
        <v>722</v>
      </c>
      <c r="C923" s="19" t="s">
        <v>915</v>
      </c>
      <c r="D923" s="7" t="s">
        <v>336</v>
      </c>
      <c r="E923" s="7" t="s">
        <v>634</v>
      </c>
      <c r="F923" s="37">
        <v>1</v>
      </c>
    </row>
    <row r="924" spans="2:6" x14ac:dyDescent="0.35">
      <c r="B924" s="19" t="s">
        <v>722</v>
      </c>
      <c r="C924" s="19" t="s">
        <v>915</v>
      </c>
      <c r="D924" s="7" t="s">
        <v>348</v>
      </c>
      <c r="E924" s="7" t="s">
        <v>591</v>
      </c>
      <c r="F924" s="37">
        <v>3</v>
      </c>
    </row>
    <row r="925" spans="2:6" x14ac:dyDescent="0.35">
      <c r="B925" s="19" t="s">
        <v>722</v>
      </c>
      <c r="C925" s="19" t="s">
        <v>915</v>
      </c>
      <c r="D925" s="7" t="s">
        <v>354</v>
      </c>
      <c r="E925" s="7" t="s">
        <v>736</v>
      </c>
      <c r="F925" s="37">
        <v>3</v>
      </c>
    </row>
    <row r="926" spans="2:6" x14ac:dyDescent="0.35">
      <c r="B926" s="19" t="s">
        <v>722</v>
      </c>
      <c r="C926" s="19" t="s">
        <v>915</v>
      </c>
      <c r="D926" s="7" t="s">
        <v>360</v>
      </c>
      <c r="E926" s="7" t="s">
        <v>593</v>
      </c>
      <c r="F926" s="37">
        <v>3</v>
      </c>
    </row>
    <row r="927" spans="2:6" x14ac:dyDescent="0.35">
      <c r="B927" s="19" t="s">
        <v>722</v>
      </c>
      <c r="C927" s="19" t="s">
        <v>915</v>
      </c>
      <c r="D927" s="7" t="s">
        <v>364</v>
      </c>
      <c r="E927" s="7" t="s">
        <v>557</v>
      </c>
      <c r="F927" s="37">
        <v>4</v>
      </c>
    </row>
    <row r="928" spans="2:6" x14ac:dyDescent="0.35">
      <c r="B928" s="19" t="s">
        <v>722</v>
      </c>
      <c r="C928" s="19" t="s">
        <v>915</v>
      </c>
      <c r="D928" s="7" t="s">
        <v>366</v>
      </c>
      <c r="E928" s="7" t="s">
        <v>636</v>
      </c>
      <c r="F928" s="37">
        <v>1</v>
      </c>
    </row>
    <row r="929" spans="2:6" x14ac:dyDescent="0.35">
      <c r="B929" s="19" t="s">
        <v>722</v>
      </c>
      <c r="C929" s="19" t="s">
        <v>915</v>
      </c>
      <c r="D929" s="7" t="s">
        <v>370</v>
      </c>
      <c r="E929" s="7" t="s">
        <v>594</v>
      </c>
      <c r="F929" s="37">
        <v>3</v>
      </c>
    </row>
    <row r="930" spans="2:6" x14ac:dyDescent="0.35">
      <c r="B930" s="19" t="s">
        <v>722</v>
      </c>
      <c r="C930" s="19" t="s">
        <v>915</v>
      </c>
      <c r="D930" s="7" t="s">
        <v>372</v>
      </c>
      <c r="E930" s="7" t="s">
        <v>558</v>
      </c>
      <c r="F930" s="37">
        <v>4</v>
      </c>
    </row>
    <row r="931" spans="2:6" x14ac:dyDescent="0.35">
      <c r="B931" s="19" t="s">
        <v>722</v>
      </c>
      <c r="C931" s="19" t="s">
        <v>915</v>
      </c>
      <c r="D931" s="7" t="s">
        <v>374</v>
      </c>
      <c r="E931" s="7" t="s">
        <v>637</v>
      </c>
      <c r="F931" s="37">
        <v>1</v>
      </c>
    </row>
    <row r="932" spans="2:6" x14ac:dyDescent="0.35">
      <c r="B932" s="19" t="s">
        <v>722</v>
      </c>
      <c r="C932" s="19" t="s">
        <v>915</v>
      </c>
      <c r="D932" s="7" t="s">
        <v>382</v>
      </c>
      <c r="E932" s="7" t="s">
        <v>595</v>
      </c>
      <c r="F932" s="37">
        <v>3</v>
      </c>
    </row>
    <row r="933" spans="2:6" x14ac:dyDescent="0.35">
      <c r="B933" s="19" t="s">
        <v>722</v>
      </c>
      <c r="C933" s="19" t="s">
        <v>915</v>
      </c>
      <c r="D933" s="7" t="s">
        <v>480</v>
      </c>
      <c r="E933" s="7" t="s">
        <v>561</v>
      </c>
      <c r="F933" s="37">
        <v>0.01</v>
      </c>
    </row>
    <row r="934" spans="2:6" x14ac:dyDescent="0.35">
      <c r="B934" s="19" t="s">
        <v>722</v>
      </c>
      <c r="C934" s="19" t="s">
        <v>915</v>
      </c>
      <c r="D934" s="7" t="s">
        <v>482</v>
      </c>
      <c r="E934" s="7" t="s">
        <v>562</v>
      </c>
      <c r="F934" s="37">
        <v>2E-3</v>
      </c>
    </row>
    <row r="935" spans="2:6" x14ac:dyDescent="0.35">
      <c r="B935" s="19" t="s">
        <v>722</v>
      </c>
      <c r="C935" s="19" t="s">
        <v>915</v>
      </c>
      <c r="D935" s="7" t="s">
        <v>484</v>
      </c>
      <c r="E935" s="7" t="s">
        <v>563</v>
      </c>
      <c r="F935" s="37">
        <v>4</v>
      </c>
    </row>
    <row r="936" spans="2:6" x14ac:dyDescent="0.35">
      <c r="B936" s="19" t="s">
        <v>722</v>
      </c>
      <c r="C936" s="19" t="s">
        <v>915</v>
      </c>
      <c r="D936" s="7" t="s">
        <v>486</v>
      </c>
      <c r="E936" s="7" t="s">
        <v>638</v>
      </c>
      <c r="F936" s="37">
        <v>1</v>
      </c>
    </row>
    <row r="937" spans="2:6" x14ac:dyDescent="0.35">
      <c r="B937" s="19" t="s">
        <v>737</v>
      </c>
      <c r="C937" s="19" t="s">
        <v>918</v>
      </c>
      <c r="D937" s="6" t="s">
        <v>116</v>
      </c>
      <c r="E937" s="7" t="s">
        <v>723</v>
      </c>
      <c r="F937" s="37">
        <v>2</v>
      </c>
    </row>
    <row r="938" spans="2:6" x14ac:dyDescent="0.35">
      <c r="B938" s="19" t="s">
        <v>737</v>
      </c>
      <c r="C938" s="19" t="s">
        <v>918</v>
      </c>
      <c r="D938" s="7" t="s">
        <v>738</v>
      </c>
      <c r="E938" s="7" t="s">
        <v>739</v>
      </c>
      <c r="F938" s="37">
        <v>2</v>
      </c>
    </row>
    <row r="939" spans="2:6" x14ac:dyDescent="0.35">
      <c r="B939" s="19" t="s">
        <v>737</v>
      </c>
      <c r="C939" s="19" t="s">
        <v>918</v>
      </c>
      <c r="D939" s="7" t="s">
        <v>521</v>
      </c>
      <c r="E939" s="7" t="s">
        <v>725</v>
      </c>
      <c r="F939" s="37">
        <v>1</v>
      </c>
    </row>
    <row r="940" spans="2:6" x14ac:dyDescent="0.35">
      <c r="B940" s="19" t="s">
        <v>737</v>
      </c>
      <c r="C940" s="19" t="s">
        <v>918</v>
      </c>
      <c r="D940" s="6" t="s">
        <v>172</v>
      </c>
      <c r="E940" s="7" t="s">
        <v>726</v>
      </c>
      <c r="F940" s="37">
        <v>2</v>
      </c>
    </row>
    <row r="941" spans="2:6" x14ac:dyDescent="0.35">
      <c r="B941" s="19" t="s">
        <v>737</v>
      </c>
      <c r="C941" s="19" t="s">
        <v>918</v>
      </c>
      <c r="D941" s="6" t="s">
        <v>174</v>
      </c>
      <c r="E941" s="7" t="s">
        <v>727</v>
      </c>
      <c r="F941" s="37">
        <v>2</v>
      </c>
    </row>
    <row r="942" spans="2:6" x14ac:dyDescent="0.35">
      <c r="B942" s="19" t="s">
        <v>737</v>
      </c>
      <c r="C942" s="19" t="s">
        <v>918</v>
      </c>
      <c r="D942" s="6" t="s">
        <v>212</v>
      </c>
      <c r="E942" s="7" t="s">
        <v>728</v>
      </c>
      <c r="F942" s="37">
        <v>2</v>
      </c>
    </row>
    <row r="943" spans="2:6" x14ac:dyDescent="0.35">
      <c r="B943" s="19" t="s">
        <v>737</v>
      </c>
      <c r="C943" s="19" t="s">
        <v>918</v>
      </c>
      <c r="D943" s="7" t="s">
        <v>218</v>
      </c>
      <c r="E943" s="7" t="s">
        <v>729</v>
      </c>
      <c r="F943" s="37">
        <v>2</v>
      </c>
    </row>
    <row r="944" spans="2:6" x14ac:dyDescent="0.35">
      <c r="B944" s="19" t="s">
        <v>737</v>
      </c>
      <c r="C944" s="19" t="s">
        <v>918</v>
      </c>
      <c r="D944" s="7" t="s">
        <v>262</v>
      </c>
      <c r="E944" s="7" t="s">
        <v>730</v>
      </c>
      <c r="F944" s="37">
        <v>1</v>
      </c>
    </row>
    <row r="945" spans="2:6" x14ac:dyDescent="0.35">
      <c r="B945" s="19" t="s">
        <v>737</v>
      </c>
      <c r="C945" s="19" t="s">
        <v>918</v>
      </c>
      <c r="D945" s="7" t="s">
        <v>284</v>
      </c>
      <c r="E945" s="7" t="s">
        <v>587</v>
      </c>
      <c r="F945" s="37">
        <v>3</v>
      </c>
    </row>
    <row r="946" spans="2:6" x14ac:dyDescent="0.35">
      <c r="B946" s="19" t="s">
        <v>737</v>
      </c>
      <c r="C946" s="19" t="s">
        <v>918</v>
      </c>
      <c r="D946" s="7" t="s">
        <v>294</v>
      </c>
      <c r="E946" s="7" t="s">
        <v>588</v>
      </c>
      <c r="F946" s="37">
        <v>3</v>
      </c>
    </row>
    <row r="947" spans="2:6" x14ac:dyDescent="0.35">
      <c r="B947" s="19" t="s">
        <v>737</v>
      </c>
      <c r="C947" s="19" t="s">
        <v>918</v>
      </c>
      <c r="D947" s="7" t="s">
        <v>528</v>
      </c>
      <c r="E947" s="7" t="s">
        <v>733</v>
      </c>
      <c r="F947" s="37">
        <v>4</v>
      </c>
    </row>
    <row r="948" spans="2:6" x14ac:dyDescent="0.35">
      <c r="B948" s="19" t="s">
        <v>737</v>
      </c>
      <c r="C948" s="19" t="s">
        <v>918</v>
      </c>
      <c r="D948" s="7" t="s">
        <v>324</v>
      </c>
      <c r="E948" s="7" t="s">
        <v>734</v>
      </c>
      <c r="F948" s="37">
        <v>1</v>
      </c>
    </row>
    <row r="949" spans="2:6" x14ac:dyDescent="0.35">
      <c r="B949" s="19" t="s">
        <v>737</v>
      </c>
      <c r="C949" s="19" t="s">
        <v>918</v>
      </c>
      <c r="D949" s="7" t="s">
        <v>740</v>
      </c>
      <c r="E949" s="7" t="s">
        <v>741</v>
      </c>
      <c r="F949" s="37">
        <v>2</v>
      </c>
    </row>
    <row r="950" spans="2:6" x14ac:dyDescent="0.35">
      <c r="B950" s="19" t="s">
        <v>737</v>
      </c>
      <c r="C950" s="19" t="s">
        <v>918</v>
      </c>
      <c r="D950" s="7" t="s">
        <v>332</v>
      </c>
      <c r="E950" s="7" t="s">
        <v>552</v>
      </c>
      <c r="F950" s="37">
        <v>4</v>
      </c>
    </row>
    <row r="951" spans="2:6" x14ac:dyDescent="0.35">
      <c r="B951" s="19" t="s">
        <v>737</v>
      </c>
      <c r="C951" s="19" t="s">
        <v>918</v>
      </c>
      <c r="D951" s="7" t="s">
        <v>336</v>
      </c>
      <c r="E951" s="7" t="s">
        <v>634</v>
      </c>
      <c r="F951" s="37">
        <v>1</v>
      </c>
    </row>
    <row r="952" spans="2:6" x14ac:dyDescent="0.35">
      <c r="B952" s="19" t="s">
        <v>737</v>
      </c>
      <c r="C952" s="19" t="s">
        <v>918</v>
      </c>
      <c r="D952" s="7" t="s">
        <v>348</v>
      </c>
      <c r="E952" s="7" t="s">
        <v>591</v>
      </c>
      <c r="F952" s="37">
        <v>3</v>
      </c>
    </row>
    <row r="953" spans="2:6" x14ac:dyDescent="0.35">
      <c r="B953" s="19" t="s">
        <v>737</v>
      </c>
      <c r="C953" s="19" t="s">
        <v>918</v>
      </c>
      <c r="D953" s="7" t="s">
        <v>354</v>
      </c>
      <c r="E953" s="7" t="s">
        <v>736</v>
      </c>
      <c r="F953" s="37">
        <v>3</v>
      </c>
    </row>
    <row r="954" spans="2:6" x14ac:dyDescent="0.35">
      <c r="B954" s="19" t="s">
        <v>737</v>
      </c>
      <c r="C954" s="19" t="s">
        <v>918</v>
      </c>
      <c r="D954" s="7" t="s">
        <v>360</v>
      </c>
      <c r="E954" s="7" t="s">
        <v>593</v>
      </c>
      <c r="F954" s="37">
        <v>3</v>
      </c>
    </row>
    <row r="955" spans="2:6" x14ac:dyDescent="0.35">
      <c r="B955" s="19" t="s">
        <v>737</v>
      </c>
      <c r="C955" s="19" t="s">
        <v>918</v>
      </c>
      <c r="D955" s="7" t="s">
        <v>364</v>
      </c>
      <c r="E955" s="7" t="s">
        <v>557</v>
      </c>
      <c r="F955" s="37">
        <v>4</v>
      </c>
    </row>
    <row r="956" spans="2:6" x14ac:dyDescent="0.35">
      <c r="B956" s="19" t="s">
        <v>737</v>
      </c>
      <c r="C956" s="19" t="s">
        <v>918</v>
      </c>
      <c r="D956" s="7" t="s">
        <v>366</v>
      </c>
      <c r="E956" s="7" t="s">
        <v>636</v>
      </c>
      <c r="F956" s="37">
        <v>1</v>
      </c>
    </row>
    <row r="957" spans="2:6" x14ac:dyDescent="0.35">
      <c r="B957" s="19" t="s">
        <v>737</v>
      </c>
      <c r="C957" s="19" t="s">
        <v>918</v>
      </c>
      <c r="D957" s="7" t="s">
        <v>370</v>
      </c>
      <c r="E957" s="7" t="s">
        <v>594</v>
      </c>
      <c r="F957" s="37">
        <v>3</v>
      </c>
    </row>
    <row r="958" spans="2:6" x14ac:dyDescent="0.35">
      <c r="B958" s="19" t="s">
        <v>737</v>
      </c>
      <c r="C958" s="19" t="s">
        <v>918</v>
      </c>
      <c r="D958" s="7" t="s">
        <v>372</v>
      </c>
      <c r="E958" s="7" t="s">
        <v>558</v>
      </c>
      <c r="F958" s="37">
        <v>4</v>
      </c>
    </row>
    <row r="959" spans="2:6" x14ac:dyDescent="0.35">
      <c r="B959" s="19" t="s">
        <v>737</v>
      </c>
      <c r="C959" s="19" t="s">
        <v>918</v>
      </c>
      <c r="D959" s="7" t="s">
        <v>374</v>
      </c>
      <c r="E959" s="7" t="s">
        <v>637</v>
      </c>
      <c r="F959" s="37">
        <v>1</v>
      </c>
    </row>
    <row r="960" spans="2:6" x14ac:dyDescent="0.35">
      <c r="B960" s="19" t="s">
        <v>737</v>
      </c>
      <c r="C960" s="19" t="s">
        <v>918</v>
      </c>
      <c r="D960" s="7" t="s">
        <v>382</v>
      </c>
      <c r="E960" s="7" t="s">
        <v>595</v>
      </c>
      <c r="F960" s="37">
        <v>3</v>
      </c>
    </row>
    <row r="961" spans="2:6" x14ac:dyDescent="0.35">
      <c r="B961" s="19" t="s">
        <v>737</v>
      </c>
      <c r="C961" s="19" t="s">
        <v>918</v>
      </c>
      <c r="D961" s="7" t="s">
        <v>480</v>
      </c>
      <c r="E961" s="7" t="s">
        <v>561</v>
      </c>
      <c r="F961" s="37">
        <v>0.01</v>
      </c>
    </row>
    <row r="962" spans="2:6" x14ac:dyDescent="0.35">
      <c r="B962" s="19" t="s">
        <v>737</v>
      </c>
      <c r="C962" s="19" t="s">
        <v>918</v>
      </c>
      <c r="D962" s="7" t="s">
        <v>482</v>
      </c>
      <c r="E962" s="7" t="s">
        <v>562</v>
      </c>
      <c r="F962" s="37">
        <v>2E-3</v>
      </c>
    </row>
    <row r="963" spans="2:6" x14ac:dyDescent="0.35">
      <c r="B963" s="19" t="s">
        <v>737</v>
      </c>
      <c r="C963" s="19" t="s">
        <v>918</v>
      </c>
      <c r="D963" s="7" t="s">
        <v>484</v>
      </c>
      <c r="E963" s="7" t="s">
        <v>563</v>
      </c>
      <c r="F963" s="37">
        <v>4</v>
      </c>
    </row>
    <row r="964" spans="2:6" x14ac:dyDescent="0.35">
      <c r="B964" s="19" t="s">
        <v>737</v>
      </c>
      <c r="C964" s="19" t="s">
        <v>918</v>
      </c>
      <c r="D964" s="7" t="s">
        <v>486</v>
      </c>
      <c r="E964" s="7" t="s">
        <v>638</v>
      </c>
      <c r="F964" s="37">
        <v>1</v>
      </c>
    </row>
    <row r="965" spans="2:6" x14ac:dyDescent="0.35">
      <c r="B965" s="19" t="s">
        <v>742</v>
      </c>
      <c r="C965" s="19" t="s">
        <v>919</v>
      </c>
      <c r="D965" s="6" t="s">
        <v>118</v>
      </c>
      <c r="E965" s="7" t="s">
        <v>743</v>
      </c>
      <c r="F965" s="37">
        <v>2</v>
      </c>
    </row>
    <row r="966" spans="2:6" x14ac:dyDescent="0.35">
      <c r="B966" s="19" t="s">
        <v>742</v>
      </c>
      <c r="C966" s="19" t="s">
        <v>919</v>
      </c>
      <c r="D966" s="7" t="s">
        <v>126</v>
      </c>
      <c r="E966" s="7" t="s">
        <v>744</v>
      </c>
      <c r="F966" s="37">
        <v>2</v>
      </c>
    </row>
    <row r="967" spans="2:6" x14ac:dyDescent="0.35">
      <c r="B967" s="19" t="s">
        <v>742</v>
      </c>
      <c r="C967" s="19" t="s">
        <v>919</v>
      </c>
      <c r="D967" s="7" t="s">
        <v>152</v>
      </c>
      <c r="E967" s="7" t="s">
        <v>745</v>
      </c>
      <c r="F967" s="37">
        <v>1</v>
      </c>
    </row>
    <row r="968" spans="2:6" x14ac:dyDescent="0.35">
      <c r="B968" s="19" t="s">
        <v>742</v>
      </c>
      <c r="C968" s="19" t="s">
        <v>919</v>
      </c>
      <c r="D968" s="6" t="s">
        <v>184</v>
      </c>
      <c r="E968" s="7" t="s">
        <v>746</v>
      </c>
      <c r="F968" s="37">
        <v>2</v>
      </c>
    </row>
    <row r="969" spans="2:6" x14ac:dyDescent="0.35">
      <c r="B969" s="19" t="s">
        <v>742</v>
      </c>
      <c r="C969" s="19" t="s">
        <v>919</v>
      </c>
      <c r="D969" s="6" t="s">
        <v>186</v>
      </c>
      <c r="E969" s="7" t="s">
        <v>747</v>
      </c>
      <c r="F969" s="37">
        <v>2</v>
      </c>
    </row>
    <row r="970" spans="2:6" x14ac:dyDescent="0.35">
      <c r="B970" s="19" t="s">
        <v>742</v>
      </c>
      <c r="C970" s="19" t="s">
        <v>919</v>
      </c>
      <c r="D970" s="6" t="s">
        <v>214</v>
      </c>
      <c r="E970" s="7" t="s">
        <v>748</v>
      </c>
      <c r="F970" s="37">
        <v>2</v>
      </c>
    </row>
    <row r="971" spans="2:6" x14ac:dyDescent="0.35">
      <c r="B971" s="19" t="s">
        <v>742</v>
      </c>
      <c r="C971" s="19" t="s">
        <v>919</v>
      </c>
      <c r="D971" s="7" t="s">
        <v>220</v>
      </c>
      <c r="E971" s="7" t="s">
        <v>749</v>
      </c>
      <c r="F971" s="37">
        <v>2</v>
      </c>
    </row>
    <row r="972" spans="2:6" x14ac:dyDescent="0.35">
      <c r="B972" s="19" t="s">
        <v>742</v>
      </c>
      <c r="C972" s="19" t="s">
        <v>919</v>
      </c>
      <c r="D972" s="7" t="s">
        <v>264</v>
      </c>
      <c r="E972" s="7" t="s">
        <v>750</v>
      </c>
      <c r="F972" s="37">
        <v>1</v>
      </c>
    </row>
    <row r="973" spans="2:6" x14ac:dyDescent="0.35">
      <c r="B973" s="19" t="s">
        <v>742</v>
      </c>
      <c r="C973" s="19" t="s">
        <v>919</v>
      </c>
      <c r="D973" s="7" t="s">
        <v>282</v>
      </c>
      <c r="E973" s="7" t="s">
        <v>731</v>
      </c>
      <c r="F973" s="37">
        <v>3</v>
      </c>
    </row>
    <row r="974" spans="2:6" x14ac:dyDescent="0.35">
      <c r="B974" s="19" t="s">
        <v>742</v>
      </c>
      <c r="C974" s="19" t="s">
        <v>919</v>
      </c>
      <c r="D974" s="7" t="s">
        <v>292</v>
      </c>
      <c r="E974" s="7" t="s">
        <v>732</v>
      </c>
      <c r="F974" s="37">
        <v>3</v>
      </c>
    </row>
    <row r="975" spans="2:6" x14ac:dyDescent="0.35">
      <c r="B975" s="19" t="s">
        <v>742</v>
      </c>
      <c r="C975" s="19" t="s">
        <v>919</v>
      </c>
      <c r="D975" s="7" t="s">
        <v>320</v>
      </c>
      <c r="E975" s="7" t="s">
        <v>751</v>
      </c>
      <c r="F975" s="37">
        <v>4</v>
      </c>
    </row>
    <row r="976" spans="2:6" x14ac:dyDescent="0.35">
      <c r="B976" s="19" t="s">
        <v>742</v>
      </c>
      <c r="C976" s="19" t="s">
        <v>919</v>
      </c>
      <c r="D976" s="7" t="s">
        <v>324</v>
      </c>
      <c r="E976" s="7" t="s">
        <v>734</v>
      </c>
      <c r="F976" s="37">
        <v>1</v>
      </c>
    </row>
    <row r="977" spans="2:6" x14ac:dyDescent="0.35">
      <c r="B977" s="19" t="s">
        <v>742</v>
      </c>
      <c r="C977" s="19" t="s">
        <v>919</v>
      </c>
      <c r="D977" s="7" t="s">
        <v>326</v>
      </c>
      <c r="E977" s="7" t="s">
        <v>735</v>
      </c>
      <c r="F977" s="37">
        <v>2</v>
      </c>
    </row>
    <row r="978" spans="2:6" x14ac:dyDescent="0.35">
      <c r="B978" s="19" t="s">
        <v>742</v>
      </c>
      <c r="C978" s="19" t="s">
        <v>919</v>
      </c>
      <c r="D978" s="7" t="s">
        <v>332</v>
      </c>
      <c r="E978" s="7" t="s">
        <v>552</v>
      </c>
      <c r="F978" s="37">
        <v>4</v>
      </c>
    </row>
    <row r="979" spans="2:6" x14ac:dyDescent="0.35">
      <c r="B979" s="19" t="s">
        <v>742</v>
      </c>
      <c r="C979" s="19" t="s">
        <v>919</v>
      </c>
      <c r="D979" s="7" t="s">
        <v>336</v>
      </c>
      <c r="E979" s="7" t="s">
        <v>634</v>
      </c>
      <c r="F979" s="37">
        <v>1</v>
      </c>
    </row>
    <row r="980" spans="2:6" x14ac:dyDescent="0.35">
      <c r="B980" s="19" t="s">
        <v>742</v>
      </c>
      <c r="C980" s="19" t="s">
        <v>919</v>
      </c>
      <c r="D980" s="7" t="s">
        <v>348</v>
      </c>
      <c r="E980" s="7" t="s">
        <v>591</v>
      </c>
      <c r="F980" s="37">
        <v>3</v>
      </c>
    </row>
    <row r="981" spans="2:6" x14ac:dyDescent="0.35">
      <c r="B981" s="19" t="s">
        <v>742</v>
      </c>
      <c r="C981" s="19" t="s">
        <v>919</v>
      </c>
      <c r="D981" s="7" t="s">
        <v>354</v>
      </c>
      <c r="E981" s="7" t="s">
        <v>736</v>
      </c>
      <c r="F981" s="37">
        <v>3</v>
      </c>
    </row>
    <row r="982" spans="2:6" x14ac:dyDescent="0.35">
      <c r="B982" s="19" t="s">
        <v>742</v>
      </c>
      <c r="C982" s="19" t="s">
        <v>919</v>
      </c>
      <c r="D982" s="7" t="s">
        <v>360</v>
      </c>
      <c r="E982" s="7" t="s">
        <v>593</v>
      </c>
      <c r="F982" s="37">
        <v>3</v>
      </c>
    </row>
    <row r="983" spans="2:6" x14ac:dyDescent="0.35">
      <c r="B983" s="19" t="s">
        <v>742</v>
      </c>
      <c r="C983" s="19" t="s">
        <v>919</v>
      </c>
      <c r="D983" s="7" t="s">
        <v>364</v>
      </c>
      <c r="E983" s="7" t="s">
        <v>557</v>
      </c>
      <c r="F983" s="37">
        <v>4</v>
      </c>
    </row>
    <row r="984" spans="2:6" x14ac:dyDescent="0.35">
      <c r="B984" s="19" t="s">
        <v>742</v>
      </c>
      <c r="C984" s="19" t="s">
        <v>919</v>
      </c>
      <c r="D984" s="7" t="s">
        <v>366</v>
      </c>
      <c r="E984" s="7" t="s">
        <v>636</v>
      </c>
      <c r="F984" s="37">
        <v>1</v>
      </c>
    </row>
    <row r="985" spans="2:6" x14ac:dyDescent="0.35">
      <c r="B985" s="19" t="s">
        <v>742</v>
      </c>
      <c r="C985" s="19" t="s">
        <v>919</v>
      </c>
      <c r="D985" s="7" t="s">
        <v>370</v>
      </c>
      <c r="E985" s="7" t="s">
        <v>594</v>
      </c>
      <c r="F985" s="37">
        <v>3</v>
      </c>
    </row>
    <row r="986" spans="2:6" x14ac:dyDescent="0.35">
      <c r="B986" s="19" t="s">
        <v>742</v>
      </c>
      <c r="C986" s="19" t="s">
        <v>919</v>
      </c>
      <c r="D986" s="7" t="s">
        <v>372</v>
      </c>
      <c r="E986" s="7" t="s">
        <v>558</v>
      </c>
      <c r="F986" s="37">
        <v>4</v>
      </c>
    </row>
    <row r="987" spans="2:6" x14ac:dyDescent="0.35">
      <c r="B987" s="19" t="s">
        <v>742</v>
      </c>
      <c r="C987" s="19" t="s">
        <v>919</v>
      </c>
      <c r="D987" s="7" t="s">
        <v>374</v>
      </c>
      <c r="E987" s="7" t="s">
        <v>637</v>
      </c>
      <c r="F987" s="37">
        <v>1</v>
      </c>
    </row>
    <row r="988" spans="2:6" x14ac:dyDescent="0.35">
      <c r="B988" s="19" t="s">
        <v>742</v>
      </c>
      <c r="C988" s="19" t="s">
        <v>919</v>
      </c>
      <c r="D988" s="7" t="s">
        <v>382</v>
      </c>
      <c r="E988" s="7" t="s">
        <v>595</v>
      </c>
      <c r="F988" s="37">
        <v>3</v>
      </c>
    </row>
    <row r="989" spans="2:6" x14ac:dyDescent="0.35">
      <c r="B989" s="19" t="s">
        <v>742</v>
      </c>
      <c r="C989" s="19" t="s">
        <v>919</v>
      </c>
      <c r="D989" s="7" t="s">
        <v>480</v>
      </c>
      <c r="E989" s="7" t="s">
        <v>561</v>
      </c>
      <c r="F989" s="37">
        <v>0.01</v>
      </c>
    </row>
    <row r="990" spans="2:6" x14ac:dyDescent="0.35">
      <c r="B990" s="19" t="s">
        <v>742</v>
      </c>
      <c r="C990" s="19" t="s">
        <v>919</v>
      </c>
      <c r="D990" s="7" t="s">
        <v>482</v>
      </c>
      <c r="E990" s="7" t="s">
        <v>562</v>
      </c>
      <c r="F990" s="37">
        <v>2E-3</v>
      </c>
    </row>
    <row r="991" spans="2:6" x14ac:dyDescent="0.35">
      <c r="B991" s="19" t="s">
        <v>742</v>
      </c>
      <c r="C991" s="19" t="s">
        <v>919</v>
      </c>
      <c r="D991" s="7" t="s">
        <v>484</v>
      </c>
      <c r="E991" s="7" t="s">
        <v>563</v>
      </c>
      <c r="F991" s="37">
        <v>4</v>
      </c>
    </row>
    <row r="992" spans="2:6" x14ac:dyDescent="0.35">
      <c r="B992" s="19" t="s">
        <v>742</v>
      </c>
      <c r="C992" s="19" t="s">
        <v>919</v>
      </c>
      <c r="D992" s="7" t="s">
        <v>486</v>
      </c>
      <c r="E992" s="7" t="s">
        <v>638</v>
      </c>
      <c r="F992" s="37">
        <v>1</v>
      </c>
    </row>
    <row r="993" spans="2:6" x14ac:dyDescent="0.35">
      <c r="B993" s="19" t="s">
        <v>752</v>
      </c>
      <c r="C993" s="19" t="s">
        <v>921</v>
      </c>
      <c r="D993" s="6" t="s">
        <v>118</v>
      </c>
      <c r="E993" s="7" t="s">
        <v>743</v>
      </c>
      <c r="F993" s="37">
        <v>2</v>
      </c>
    </row>
    <row r="994" spans="2:6" x14ac:dyDescent="0.35">
      <c r="B994" s="19" t="s">
        <v>752</v>
      </c>
      <c r="C994" s="19" t="s">
        <v>921</v>
      </c>
      <c r="D994" s="7" t="s">
        <v>753</v>
      </c>
      <c r="E994" s="7" t="s">
        <v>754</v>
      </c>
      <c r="F994" s="37">
        <v>2</v>
      </c>
    </row>
    <row r="995" spans="2:6" x14ac:dyDescent="0.35">
      <c r="B995" s="19" t="s">
        <v>752</v>
      </c>
      <c r="C995" s="19" t="s">
        <v>921</v>
      </c>
      <c r="D995" s="7" t="s">
        <v>152</v>
      </c>
      <c r="E995" s="7" t="s">
        <v>745</v>
      </c>
      <c r="F995" s="37">
        <v>1</v>
      </c>
    </row>
    <row r="996" spans="2:6" x14ac:dyDescent="0.35">
      <c r="B996" s="19" t="s">
        <v>752</v>
      </c>
      <c r="C996" s="19" t="s">
        <v>921</v>
      </c>
      <c r="D996" s="6" t="s">
        <v>184</v>
      </c>
      <c r="E996" s="7" t="s">
        <v>746</v>
      </c>
      <c r="F996" s="37">
        <v>2</v>
      </c>
    </row>
    <row r="997" spans="2:6" x14ac:dyDescent="0.35">
      <c r="B997" s="19" t="s">
        <v>752</v>
      </c>
      <c r="C997" s="19" t="s">
        <v>921</v>
      </c>
      <c r="D997" s="6" t="s">
        <v>186</v>
      </c>
      <c r="E997" s="7" t="s">
        <v>747</v>
      </c>
      <c r="F997" s="37">
        <v>2</v>
      </c>
    </row>
    <row r="998" spans="2:6" x14ac:dyDescent="0.35">
      <c r="B998" s="19" t="s">
        <v>752</v>
      </c>
      <c r="C998" s="19" t="s">
        <v>921</v>
      </c>
      <c r="D998" s="6" t="s">
        <v>214</v>
      </c>
      <c r="E998" s="7" t="s">
        <v>748</v>
      </c>
      <c r="F998" s="37">
        <v>2</v>
      </c>
    </row>
    <row r="999" spans="2:6" x14ac:dyDescent="0.35">
      <c r="B999" s="19" t="s">
        <v>752</v>
      </c>
      <c r="C999" s="19" t="s">
        <v>921</v>
      </c>
      <c r="D999" s="7" t="s">
        <v>220</v>
      </c>
      <c r="E999" s="7" t="s">
        <v>749</v>
      </c>
      <c r="F999" s="37">
        <v>2</v>
      </c>
    </row>
    <row r="1000" spans="2:6" x14ac:dyDescent="0.35">
      <c r="B1000" s="19" t="s">
        <v>752</v>
      </c>
      <c r="C1000" s="19" t="s">
        <v>921</v>
      </c>
      <c r="D1000" s="7" t="s">
        <v>264</v>
      </c>
      <c r="E1000" s="7" t="s">
        <v>750</v>
      </c>
      <c r="F1000" s="37">
        <v>1</v>
      </c>
    </row>
    <row r="1001" spans="2:6" x14ac:dyDescent="0.35">
      <c r="B1001" s="19" t="s">
        <v>752</v>
      </c>
      <c r="C1001" s="19" t="s">
        <v>921</v>
      </c>
      <c r="D1001" s="7" t="s">
        <v>284</v>
      </c>
      <c r="E1001" s="7" t="s">
        <v>587</v>
      </c>
      <c r="F1001" s="37">
        <v>3</v>
      </c>
    </row>
    <row r="1002" spans="2:6" x14ac:dyDescent="0.35">
      <c r="B1002" s="19" t="s">
        <v>752</v>
      </c>
      <c r="C1002" s="19" t="s">
        <v>921</v>
      </c>
      <c r="D1002" s="7" t="s">
        <v>294</v>
      </c>
      <c r="E1002" s="7" t="s">
        <v>588</v>
      </c>
      <c r="F1002" s="37">
        <v>3</v>
      </c>
    </row>
    <row r="1003" spans="2:6" x14ac:dyDescent="0.35">
      <c r="B1003" s="19" t="s">
        <v>752</v>
      </c>
      <c r="C1003" s="19" t="s">
        <v>921</v>
      </c>
      <c r="D1003" s="7" t="s">
        <v>320</v>
      </c>
      <c r="E1003" s="7" t="s">
        <v>751</v>
      </c>
      <c r="F1003" s="37">
        <v>4</v>
      </c>
    </row>
    <row r="1004" spans="2:6" x14ac:dyDescent="0.35">
      <c r="B1004" s="19" t="s">
        <v>752</v>
      </c>
      <c r="C1004" s="19" t="s">
        <v>921</v>
      </c>
      <c r="D1004" s="7" t="s">
        <v>324</v>
      </c>
      <c r="E1004" s="7" t="s">
        <v>734</v>
      </c>
      <c r="F1004" s="37">
        <v>1</v>
      </c>
    </row>
    <row r="1005" spans="2:6" x14ac:dyDescent="0.35">
      <c r="B1005" s="19" t="s">
        <v>752</v>
      </c>
      <c r="C1005" s="19" t="s">
        <v>921</v>
      </c>
      <c r="D1005" s="7" t="s">
        <v>740</v>
      </c>
      <c r="E1005" s="7" t="s">
        <v>741</v>
      </c>
      <c r="F1005" s="37">
        <v>2</v>
      </c>
    </row>
    <row r="1006" spans="2:6" x14ac:dyDescent="0.35">
      <c r="B1006" s="19" t="s">
        <v>752</v>
      </c>
      <c r="C1006" s="19" t="s">
        <v>921</v>
      </c>
      <c r="D1006" s="7" t="s">
        <v>332</v>
      </c>
      <c r="E1006" s="7" t="s">
        <v>552</v>
      </c>
      <c r="F1006" s="37">
        <v>4</v>
      </c>
    </row>
    <row r="1007" spans="2:6" x14ac:dyDescent="0.35">
      <c r="B1007" s="19" t="s">
        <v>752</v>
      </c>
      <c r="C1007" s="19" t="s">
        <v>921</v>
      </c>
      <c r="D1007" s="7" t="s">
        <v>336</v>
      </c>
      <c r="E1007" s="7" t="s">
        <v>634</v>
      </c>
      <c r="F1007" s="37">
        <v>1</v>
      </c>
    </row>
    <row r="1008" spans="2:6" x14ac:dyDescent="0.35">
      <c r="B1008" s="19" t="s">
        <v>752</v>
      </c>
      <c r="C1008" s="19" t="s">
        <v>921</v>
      </c>
      <c r="D1008" s="7" t="s">
        <v>348</v>
      </c>
      <c r="E1008" s="7" t="s">
        <v>591</v>
      </c>
      <c r="F1008" s="37">
        <v>3</v>
      </c>
    </row>
    <row r="1009" spans="2:6" x14ac:dyDescent="0.35">
      <c r="B1009" s="19" t="s">
        <v>752</v>
      </c>
      <c r="C1009" s="19" t="s">
        <v>921</v>
      </c>
      <c r="D1009" s="7" t="s">
        <v>354</v>
      </c>
      <c r="E1009" s="7" t="s">
        <v>736</v>
      </c>
      <c r="F1009" s="37">
        <v>3</v>
      </c>
    </row>
    <row r="1010" spans="2:6" x14ac:dyDescent="0.35">
      <c r="B1010" s="19" t="s">
        <v>752</v>
      </c>
      <c r="C1010" s="19" t="s">
        <v>921</v>
      </c>
      <c r="D1010" s="7" t="s">
        <v>360</v>
      </c>
      <c r="E1010" s="7" t="s">
        <v>593</v>
      </c>
      <c r="F1010" s="37">
        <v>3</v>
      </c>
    </row>
    <row r="1011" spans="2:6" x14ac:dyDescent="0.35">
      <c r="B1011" s="19" t="s">
        <v>752</v>
      </c>
      <c r="C1011" s="19" t="s">
        <v>921</v>
      </c>
      <c r="D1011" s="7" t="s">
        <v>364</v>
      </c>
      <c r="E1011" s="7" t="s">
        <v>557</v>
      </c>
      <c r="F1011" s="37">
        <v>4</v>
      </c>
    </row>
    <row r="1012" spans="2:6" x14ac:dyDescent="0.35">
      <c r="B1012" s="19" t="s">
        <v>752</v>
      </c>
      <c r="C1012" s="19" t="s">
        <v>921</v>
      </c>
      <c r="D1012" s="7" t="s">
        <v>366</v>
      </c>
      <c r="E1012" s="7" t="s">
        <v>636</v>
      </c>
      <c r="F1012" s="37">
        <v>1</v>
      </c>
    </row>
    <row r="1013" spans="2:6" x14ac:dyDescent="0.35">
      <c r="B1013" s="19" t="s">
        <v>752</v>
      </c>
      <c r="C1013" s="19" t="s">
        <v>921</v>
      </c>
      <c r="D1013" s="7" t="s">
        <v>370</v>
      </c>
      <c r="E1013" s="7" t="s">
        <v>594</v>
      </c>
      <c r="F1013" s="37">
        <v>3</v>
      </c>
    </row>
    <row r="1014" spans="2:6" x14ac:dyDescent="0.35">
      <c r="B1014" s="19" t="s">
        <v>752</v>
      </c>
      <c r="C1014" s="19" t="s">
        <v>921</v>
      </c>
      <c r="D1014" s="7" t="s">
        <v>372</v>
      </c>
      <c r="E1014" s="7" t="s">
        <v>558</v>
      </c>
      <c r="F1014" s="37">
        <v>4</v>
      </c>
    </row>
    <row r="1015" spans="2:6" x14ac:dyDescent="0.35">
      <c r="B1015" s="19" t="s">
        <v>752</v>
      </c>
      <c r="C1015" s="19" t="s">
        <v>921</v>
      </c>
      <c r="D1015" s="7" t="s">
        <v>374</v>
      </c>
      <c r="E1015" s="7" t="s">
        <v>637</v>
      </c>
      <c r="F1015" s="37">
        <v>1</v>
      </c>
    </row>
    <row r="1016" spans="2:6" x14ac:dyDescent="0.35">
      <c r="B1016" s="19" t="s">
        <v>752</v>
      </c>
      <c r="C1016" s="19" t="s">
        <v>921</v>
      </c>
      <c r="D1016" s="7" t="s">
        <v>382</v>
      </c>
      <c r="E1016" s="7" t="s">
        <v>595</v>
      </c>
      <c r="F1016" s="37">
        <v>3</v>
      </c>
    </row>
    <row r="1017" spans="2:6" x14ac:dyDescent="0.35">
      <c r="B1017" s="19" t="s">
        <v>752</v>
      </c>
      <c r="C1017" s="19" t="s">
        <v>921</v>
      </c>
      <c r="D1017" s="7" t="s">
        <v>480</v>
      </c>
      <c r="E1017" s="7" t="s">
        <v>561</v>
      </c>
      <c r="F1017" s="37">
        <v>0.01</v>
      </c>
    </row>
    <row r="1018" spans="2:6" x14ac:dyDescent="0.35">
      <c r="B1018" s="19" t="s">
        <v>752</v>
      </c>
      <c r="C1018" s="19" t="s">
        <v>921</v>
      </c>
      <c r="D1018" s="7" t="s">
        <v>482</v>
      </c>
      <c r="E1018" s="7" t="s">
        <v>562</v>
      </c>
      <c r="F1018" s="37">
        <v>2E-3</v>
      </c>
    </row>
    <row r="1019" spans="2:6" x14ac:dyDescent="0.35">
      <c r="B1019" s="19" t="s">
        <v>752</v>
      </c>
      <c r="C1019" s="19" t="s">
        <v>921</v>
      </c>
      <c r="D1019" s="7" t="s">
        <v>484</v>
      </c>
      <c r="E1019" s="7" t="s">
        <v>563</v>
      </c>
      <c r="F1019" s="37">
        <v>4</v>
      </c>
    </row>
    <row r="1020" spans="2:6" x14ac:dyDescent="0.35">
      <c r="B1020" s="19" t="s">
        <v>752</v>
      </c>
      <c r="C1020" s="19" t="s">
        <v>921</v>
      </c>
      <c r="D1020" s="7" t="s">
        <v>486</v>
      </c>
      <c r="E1020" s="7" t="s">
        <v>638</v>
      </c>
      <c r="F1020" s="37">
        <v>1</v>
      </c>
    </row>
    <row r="1021" spans="2:6" x14ac:dyDescent="0.35">
      <c r="B1021" s="19" t="s">
        <v>755</v>
      </c>
      <c r="C1021" s="19" t="s">
        <v>922</v>
      </c>
      <c r="D1021" s="6" t="s">
        <v>756</v>
      </c>
      <c r="E1021" s="7" t="s">
        <v>757</v>
      </c>
      <c r="F1021" s="37">
        <v>2</v>
      </c>
    </row>
    <row r="1022" spans="2:6" x14ac:dyDescent="0.35">
      <c r="B1022" s="19" t="s">
        <v>755</v>
      </c>
      <c r="C1022" s="19" t="s">
        <v>922</v>
      </c>
      <c r="D1022" s="7" t="s">
        <v>758</v>
      </c>
      <c r="E1022" s="7" t="s">
        <v>759</v>
      </c>
      <c r="F1022" s="37">
        <v>2</v>
      </c>
    </row>
    <row r="1023" spans="2:6" x14ac:dyDescent="0.35">
      <c r="B1023" s="19" t="s">
        <v>755</v>
      </c>
      <c r="C1023" s="19" t="s">
        <v>922</v>
      </c>
      <c r="D1023" s="7" t="s">
        <v>760</v>
      </c>
      <c r="E1023" s="7" t="s">
        <v>761</v>
      </c>
      <c r="F1023" s="37">
        <v>1</v>
      </c>
    </row>
    <row r="1024" spans="2:6" x14ac:dyDescent="0.35">
      <c r="B1024" s="19" t="s">
        <v>755</v>
      </c>
      <c r="C1024" s="19" t="s">
        <v>922</v>
      </c>
      <c r="D1024" s="6" t="s">
        <v>762</v>
      </c>
      <c r="E1024" s="7" t="s">
        <v>763</v>
      </c>
      <c r="F1024" s="37">
        <v>2</v>
      </c>
    </row>
    <row r="1025" spans="2:6" x14ac:dyDescent="0.35">
      <c r="B1025" s="19" t="s">
        <v>755</v>
      </c>
      <c r="C1025" s="19" t="s">
        <v>922</v>
      </c>
      <c r="D1025" s="6" t="s">
        <v>764</v>
      </c>
      <c r="E1025" s="7" t="s">
        <v>765</v>
      </c>
      <c r="F1025" s="37">
        <v>2</v>
      </c>
    </row>
    <row r="1026" spans="2:6" x14ac:dyDescent="0.35">
      <c r="B1026" s="19" t="s">
        <v>755</v>
      </c>
      <c r="C1026" s="19" t="s">
        <v>922</v>
      </c>
      <c r="D1026" s="6" t="s">
        <v>766</v>
      </c>
      <c r="E1026" s="7" t="s">
        <v>767</v>
      </c>
      <c r="F1026" s="37">
        <v>2</v>
      </c>
    </row>
    <row r="1027" spans="2:6" x14ac:dyDescent="0.35">
      <c r="B1027" s="19" t="s">
        <v>755</v>
      </c>
      <c r="C1027" s="19" t="s">
        <v>922</v>
      </c>
      <c r="D1027" s="7" t="s">
        <v>768</v>
      </c>
      <c r="E1027" s="7" t="s">
        <v>769</v>
      </c>
      <c r="F1027" s="37">
        <v>2</v>
      </c>
    </row>
    <row r="1028" spans="2:6" x14ac:dyDescent="0.35">
      <c r="B1028" s="19" t="s">
        <v>755</v>
      </c>
      <c r="C1028" s="19" t="s">
        <v>922</v>
      </c>
      <c r="D1028" s="7" t="s">
        <v>770</v>
      </c>
      <c r="E1028" s="7" t="s">
        <v>771</v>
      </c>
      <c r="F1028" s="37">
        <v>1</v>
      </c>
    </row>
    <row r="1029" spans="2:6" x14ac:dyDescent="0.35">
      <c r="B1029" s="19" t="s">
        <v>755</v>
      </c>
      <c r="C1029" s="19" t="s">
        <v>922</v>
      </c>
      <c r="D1029" s="7" t="s">
        <v>286</v>
      </c>
      <c r="E1029" s="7" t="s">
        <v>772</v>
      </c>
      <c r="F1029" s="37">
        <v>3</v>
      </c>
    </row>
    <row r="1030" spans="2:6" x14ac:dyDescent="0.35">
      <c r="B1030" s="19" t="s">
        <v>755</v>
      </c>
      <c r="C1030" s="19" t="s">
        <v>922</v>
      </c>
      <c r="D1030" s="7" t="s">
        <v>296</v>
      </c>
      <c r="E1030" s="7" t="s">
        <v>773</v>
      </c>
      <c r="F1030" s="37">
        <v>3</v>
      </c>
    </row>
    <row r="1031" spans="2:6" x14ac:dyDescent="0.35">
      <c r="B1031" s="19" t="s">
        <v>755</v>
      </c>
      <c r="C1031" s="19" t="s">
        <v>922</v>
      </c>
      <c r="D1031" s="7" t="s">
        <v>774</v>
      </c>
      <c r="E1031" s="7" t="s">
        <v>775</v>
      </c>
      <c r="F1031" s="37">
        <v>4</v>
      </c>
    </row>
    <row r="1032" spans="2:6" x14ac:dyDescent="0.35">
      <c r="B1032" s="19" t="s">
        <v>755</v>
      </c>
      <c r="C1032" s="19" t="s">
        <v>922</v>
      </c>
      <c r="D1032" s="7" t="s">
        <v>328</v>
      </c>
      <c r="E1032" s="7" t="s">
        <v>776</v>
      </c>
      <c r="F1032" s="37">
        <v>2</v>
      </c>
    </row>
    <row r="1033" spans="2:6" x14ac:dyDescent="0.35">
      <c r="B1033" s="19" t="s">
        <v>755</v>
      </c>
      <c r="C1033" s="19" t="s">
        <v>922</v>
      </c>
      <c r="D1033" s="7" t="s">
        <v>330</v>
      </c>
      <c r="E1033" s="7" t="s">
        <v>777</v>
      </c>
      <c r="F1033" s="37">
        <v>1</v>
      </c>
    </row>
    <row r="1034" spans="2:6" x14ac:dyDescent="0.35">
      <c r="B1034" s="19" t="s">
        <v>755</v>
      </c>
      <c r="C1034" s="19" t="s">
        <v>922</v>
      </c>
      <c r="D1034" s="7" t="s">
        <v>336</v>
      </c>
      <c r="E1034" s="7" t="s">
        <v>634</v>
      </c>
      <c r="F1034" s="37">
        <v>4</v>
      </c>
    </row>
    <row r="1035" spans="2:6" x14ac:dyDescent="0.35">
      <c r="B1035" s="19" t="s">
        <v>755</v>
      </c>
      <c r="C1035" s="19" t="s">
        <v>922</v>
      </c>
      <c r="D1035" s="7" t="s">
        <v>344</v>
      </c>
      <c r="E1035" s="7" t="s">
        <v>663</v>
      </c>
      <c r="F1035" s="37">
        <v>1</v>
      </c>
    </row>
    <row r="1036" spans="2:6" x14ac:dyDescent="0.35">
      <c r="B1036" s="19" t="s">
        <v>755</v>
      </c>
      <c r="C1036" s="19" t="s">
        <v>922</v>
      </c>
      <c r="D1036" s="7" t="s">
        <v>348</v>
      </c>
      <c r="E1036" s="7" t="s">
        <v>591</v>
      </c>
      <c r="F1036" s="37">
        <v>1</v>
      </c>
    </row>
    <row r="1037" spans="2:6" x14ac:dyDescent="0.35">
      <c r="B1037" s="19" t="s">
        <v>755</v>
      </c>
      <c r="C1037" s="19" t="s">
        <v>922</v>
      </c>
      <c r="D1037" s="7" t="s">
        <v>350</v>
      </c>
      <c r="E1037" s="7" t="s">
        <v>778</v>
      </c>
      <c r="F1037" s="37">
        <v>2</v>
      </c>
    </row>
    <row r="1038" spans="2:6" x14ac:dyDescent="0.35">
      <c r="B1038" s="19" t="s">
        <v>755</v>
      </c>
      <c r="C1038" s="19" t="s">
        <v>922</v>
      </c>
      <c r="D1038" s="7" t="s">
        <v>352</v>
      </c>
      <c r="E1038" s="7" t="s">
        <v>779</v>
      </c>
      <c r="F1038" s="37">
        <v>3</v>
      </c>
    </row>
    <row r="1039" spans="2:6" x14ac:dyDescent="0.35">
      <c r="B1039" s="19" t="s">
        <v>755</v>
      </c>
      <c r="C1039" s="19" t="s">
        <v>922</v>
      </c>
      <c r="D1039" s="7" t="s">
        <v>360</v>
      </c>
      <c r="E1039" s="7" t="s">
        <v>593</v>
      </c>
      <c r="F1039" s="37">
        <v>3</v>
      </c>
    </row>
    <row r="1040" spans="2:6" x14ac:dyDescent="0.35">
      <c r="B1040" s="19" t="s">
        <v>755</v>
      </c>
      <c r="C1040" s="19" t="s">
        <v>922</v>
      </c>
      <c r="D1040" s="7" t="s">
        <v>366</v>
      </c>
      <c r="E1040" s="7" t="s">
        <v>636</v>
      </c>
      <c r="F1040" s="37">
        <v>4</v>
      </c>
    </row>
    <row r="1041" spans="2:6" x14ac:dyDescent="0.35">
      <c r="B1041" s="19" t="s">
        <v>755</v>
      </c>
      <c r="C1041" s="19" t="s">
        <v>922</v>
      </c>
      <c r="D1041" s="7" t="s">
        <v>368</v>
      </c>
      <c r="E1041" s="7" t="s">
        <v>664</v>
      </c>
      <c r="F1041" s="37">
        <v>1</v>
      </c>
    </row>
    <row r="1042" spans="2:6" x14ac:dyDescent="0.35">
      <c r="B1042" s="19" t="s">
        <v>755</v>
      </c>
      <c r="C1042" s="19" t="s">
        <v>922</v>
      </c>
      <c r="D1042" s="7" t="s">
        <v>370</v>
      </c>
      <c r="E1042" s="7" t="s">
        <v>594</v>
      </c>
      <c r="F1042" s="37">
        <v>3</v>
      </c>
    </row>
    <row r="1043" spans="2:6" x14ac:dyDescent="0.35">
      <c r="B1043" s="19" t="s">
        <v>755</v>
      </c>
      <c r="C1043" s="19" t="s">
        <v>922</v>
      </c>
      <c r="D1043" s="7" t="s">
        <v>374</v>
      </c>
      <c r="E1043" s="7" t="s">
        <v>637</v>
      </c>
      <c r="F1043" s="37">
        <v>4</v>
      </c>
    </row>
    <row r="1044" spans="2:6" x14ac:dyDescent="0.35">
      <c r="B1044" s="19" t="s">
        <v>755</v>
      </c>
      <c r="C1044" s="19" t="s">
        <v>922</v>
      </c>
      <c r="D1044" s="7" t="s">
        <v>376</v>
      </c>
      <c r="E1044" s="7" t="s">
        <v>665</v>
      </c>
      <c r="F1044" s="37">
        <v>1</v>
      </c>
    </row>
    <row r="1045" spans="2:6" x14ac:dyDescent="0.35">
      <c r="B1045" s="19" t="s">
        <v>755</v>
      </c>
      <c r="C1045" s="19" t="s">
        <v>922</v>
      </c>
      <c r="D1045" s="7" t="s">
        <v>384</v>
      </c>
      <c r="E1045" s="7" t="s">
        <v>780</v>
      </c>
      <c r="F1045" s="37">
        <v>3</v>
      </c>
    </row>
    <row r="1046" spans="2:6" x14ac:dyDescent="0.35">
      <c r="B1046" s="19" t="s">
        <v>755</v>
      </c>
      <c r="C1046" s="19" t="s">
        <v>922</v>
      </c>
      <c r="D1046" s="7" t="s">
        <v>480</v>
      </c>
      <c r="E1046" s="7" t="s">
        <v>561</v>
      </c>
      <c r="F1046" s="37">
        <v>0.01</v>
      </c>
    </row>
    <row r="1047" spans="2:6" x14ac:dyDescent="0.35">
      <c r="B1047" s="19" t="s">
        <v>755</v>
      </c>
      <c r="C1047" s="19" t="s">
        <v>922</v>
      </c>
      <c r="D1047" s="7" t="s">
        <v>482</v>
      </c>
      <c r="E1047" s="7" t="s">
        <v>562</v>
      </c>
      <c r="F1047" s="37">
        <v>2E-3</v>
      </c>
    </row>
    <row r="1048" spans="2:6" x14ac:dyDescent="0.35">
      <c r="B1048" s="19" t="s">
        <v>755</v>
      </c>
      <c r="C1048" s="19" t="s">
        <v>922</v>
      </c>
      <c r="D1048" s="7" t="s">
        <v>486</v>
      </c>
      <c r="E1048" s="7" t="s">
        <v>638</v>
      </c>
      <c r="F1048" s="37">
        <v>4</v>
      </c>
    </row>
    <row r="1049" spans="2:6" x14ac:dyDescent="0.35">
      <c r="B1049" s="19" t="s">
        <v>755</v>
      </c>
      <c r="C1049" s="19" t="s">
        <v>922</v>
      </c>
      <c r="D1049" s="7" t="s">
        <v>488</v>
      </c>
      <c r="E1049" s="7" t="s">
        <v>666</v>
      </c>
      <c r="F1049" s="37">
        <v>1</v>
      </c>
    </row>
    <row r="1050" spans="2:6" x14ac:dyDescent="0.35">
      <c r="B1050" s="19" t="s">
        <v>781</v>
      </c>
      <c r="C1050" s="19" t="s">
        <v>924</v>
      </c>
      <c r="D1050" s="6" t="s">
        <v>782</v>
      </c>
      <c r="E1050" s="7" t="s">
        <v>783</v>
      </c>
      <c r="F1050" s="37">
        <v>2</v>
      </c>
    </row>
    <row r="1051" spans="2:6" x14ac:dyDescent="0.35">
      <c r="B1051" s="19" t="s">
        <v>781</v>
      </c>
      <c r="C1051" s="19" t="s">
        <v>924</v>
      </c>
      <c r="D1051" s="7" t="s">
        <v>784</v>
      </c>
      <c r="E1051" s="7" t="s">
        <v>785</v>
      </c>
      <c r="F1051" s="37">
        <v>2</v>
      </c>
    </row>
    <row r="1052" spans="2:6" x14ac:dyDescent="0.35">
      <c r="B1052" s="19" t="s">
        <v>781</v>
      </c>
      <c r="C1052" s="19" t="s">
        <v>924</v>
      </c>
      <c r="D1052" s="7" t="s">
        <v>786</v>
      </c>
      <c r="E1052" s="7" t="s">
        <v>787</v>
      </c>
      <c r="F1052" s="37">
        <v>1</v>
      </c>
    </row>
    <row r="1053" spans="2:6" x14ac:dyDescent="0.35">
      <c r="B1053" s="19" t="s">
        <v>781</v>
      </c>
      <c r="C1053" s="19" t="s">
        <v>924</v>
      </c>
      <c r="D1053" s="6" t="s">
        <v>788</v>
      </c>
      <c r="E1053" s="7" t="s">
        <v>789</v>
      </c>
      <c r="F1053" s="37">
        <v>2</v>
      </c>
    </row>
    <row r="1054" spans="2:6" x14ac:dyDescent="0.35">
      <c r="B1054" s="19" t="s">
        <v>781</v>
      </c>
      <c r="C1054" s="19" t="s">
        <v>924</v>
      </c>
      <c r="D1054" s="6" t="s">
        <v>790</v>
      </c>
      <c r="E1054" s="7" t="s">
        <v>791</v>
      </c>
      <c r="F1054" s="37">
        <v>2</v>
      </c>
    </row>
    <row r="1055" spans="2:6" x14ac:dyDescent="0.35">
      <c r="B1055" s="19" t="s">
        <v>781</v>
      </c>
      <c r="C1055" s="19" t="s">
        <v>924</v>
      </c>
      <c r="D1055" s="6" t="s">
        <v>792</v>
      </c>
      <c r="E1055" s="7" t="s">
        <v>793</v>
      </c>
      <c r="F1055" s="37">
        <v>2</v>
      </c>
    </row>
    <row r="1056" spans="2:6" x14ac:dyDescent="0.35">
      <c r="B1056" s="19" t="s">
        <v>781</v>
      </c>
      <c r="C1056" s="19" t="s">
        <v>924</v>
      </c>
      <c r="D1056" s="7" t="s">
        <v>794</v>
      </c>
      <c r="E1056" s="7" t="s">
        <v>795</v>
      </c>
      <c r="F1056" s="37">
        <v>2</v>
      </c>
    </row>
    <row r="1057" spans="2:6" x14ac:dyDescent="0.35">
      <c r="B1057" s="19" t="s">
        <v>781</v>
      </c>
      <c r="C1057" s="19" t="s">
        <v>924</v>
      </c>
      <c r="D1057" s="7" t="s">
        <v>796</v>
      </c>
      <c r="E1057" s="7" t="s">
        <v>797</v>
      </c>
      <c r="F1057" s="37">
        <v>1</v>
      </c>
    </row>
    <row r="1058" spans="2:6" x14ac:dyDescent="0.35">
      <c r="B1058" s="19" t="s">
        <v>781</v>
      </c>
      <c r="C1058" s="19" t="s">
        <v>924</v>
      </c>
      <c r="D1058" s="7" t="s">
        <v>286</v>
      </c>
      <c r="E1058" s="7" t="s">
        <v>772</v>
      </c>
      <c r="F1058" s="37">
        <v>3</v>
      </c>
    </row>
    <row r="1059" spans="2:6" x14ac:dyDescent="0.35">
      <c r="B1059" s="19" t="s">
        <v>781</v>
      </c>
      <c r="C1059" s="19" t="s">
        <v>924</v>
      </c>
      <c r="D1059" s="7" t="s">
        <v>296</v>
      </c>
      <c r="E1059" s="7" t="s">
        <v>773</v>
      </c>
      <c r="F1059" s="37">
        <v>3</v>
      </c>
    </row>
    <row r="1060" spans="2:6" x14ac:dyDescent="0.35">
      <c r="B1060" s="19" t="s">
        <v>781</v>
      </c>
      <c r="C1060" s="19" t="s">
        <v>924</v>
      </c>
      <c r="D1060" s="7" t="s">
        <v>798</v>
      </c>
      <c r="E1060" s="7" t="s">
        <v>799</v>
      </c>
      <c r="F1060" s="37">
        <v>4</v>
      </c>
    </row>
    <row r="1061" spans="2:6" x14ac:dyDescent="0.35">
      <c r="B1061" s="19" t="s">
        <v>781</v>
      </c>
      <c r="C1061" s="19" t="s">
        <v>924</v>
      </c>
      <c r="D1061" s="7" t="s">
        <v>328</v>
      </c>
      <c r="E1061" s="7" t="s">
        <v>776</v>
      </c>
      <c r="F1061" s="37">
        <v>2</v>
      </c>
    </row>
    <row r="1062" spans="2:6" x14ac:dyDescent="0.35">
      <c r="B1062" s="19" t="s">
        <v>781</v>
      </c>
      <c r="C1062" s="19" t="s">
        <v>924</v>
      </c>
      <c r="D1062" s="7" t="s">
        <v>330</v>
      </c>
      <c r="E1062" s="7" t="s">
        <v>777</v>
      </c>
      <c r="F1062" s="37">
        <v>1</v>
      </c>
    </row>
    <row r="1063" spans="2:6" x14ac:dyDescent="0.35">
      <c r="B1063" s="19" t="s">
        <v>781</v>
      </c>
      <c r="C1063" s="19" t="s">
        <v>924</v>
      </c>
      <c r="D1063" s="7" t="s">
        <v>336</v>
      </c>
      <c r="E1063" s="7" t="s">
        <v>634</v>
      </c>
      <c r="F1063" s="37">
        <v>4</v>
      </c>
    </row>
    <row r="1064" spans="2:6" x14ac:dyDescent="0.35">
      <c r="B1064" s="19" t="s">
        <v>781</v>
      </c>
      <c r="C1064" s="19" t="s">
        <v>924</v>
      </c>
      <c r="D1064" s="7" t="s">
        <v>344</v>
      </c>
      <c r="E1064" s="7" t="s">
        <v>663</v>
      </c>
      <c r="F1064" s="37">
        <v>1</v>
      </c>
    </row>
    <row r="1065" spans="2:6" x14ac:dyDescent="0.35">
      <c r="B1065" s="19" t="s">
        <v>781</v>
      </c>
      <c r="C1065" s="19" t="s">
        <v>924</v>
      </c>
      <c r="D1065" s="7" t="s">
        <v>348</v>
      </c>
      <c r="E1065" s="7" t="s">
        <v>591</v>
      </c>
      <c r="F1065" s="37">
        <v>1</v>
      </c>
    </row>
    <row r="1066" spans="2:6" x14ac:dyDescent="0.35">
      <c r="B1066" s="19" t="s">
        <v>781</v>
      </c>
      <c r="C1066" s="19" t="s">
        <v>924</v>
      </c>
      <c r="D1066" s="7" t="s">
        <v>350</v>
      </c>
      <c r="E1066" s="7" t="s">
        <v>778</v>
      </c>
      <c r="F1066" s="37">
        <v>2</v>
      </c>
    </row>
    <row r="1067" spans="2:6" x14ac:dyDescent="0.35">
      <c r="B1067" s="19" t="s">
        <v>781</v>
      </c>
      <c r="C1067" s="19" t="s">
        <v>924</v>
      </c>
      <c r="D1067" s="7" t="s">
        <v>352</v>
      </c>
      <c r="E1067" s="7" t="s">
        <v>779</v>
      </c>
      <c r="F1067" s="37">
        <v>3</v>
      </c>
    </row>
    <row r="1068" spans="2:6" x14ac:dyDescent="0.35">
      <c r="B1068" s="19" t="s">
        <v>781</v>
      </c>
      <c r="C1068" s="19" t="s">
        <v>924</v>
      </c>
      <c r="D1068" s="7" t="s">
        <v>360</v>
      </c>
      <c r="E1068" s="7" t="s">
        <v>593</v>
      </c>
      <c r="F1068" s="37">
        <v>3</v>
      </c>
    </row>
    <row r="1069" spans="2:6" x14ac:dyDescent="0.35">
      <c r="B1069" s="19" t="s">
        <v>781</v>
      </c>
      <c r="C1069" s="19" t="s">
        <v>924</v>
      </c>
      <c r="D1069" s="7" t="s">
        <v>366</v>
      </c>
      <c r="E1069" s="7" t="s">
        <v>636</v>
      </c>
      <c r="F1069" s="37">
        <v>4</v>
      </c>
    </row>
    <row r="1070" spans="2:6" x14ac:dyDescent="0.35">
      <c r="B1070" s="19" t="s">
        <v>781</v>
      </c>
      <c r="C1070" s="19" t="s">
        <v>924</v>
      </c>
      <c r="D1070" s="7" t="s">
        <v>368</v>
      </c>
      <c r="E1070" s="7" t="s">
        <v>664</v>
      </c>
      <c r="F1070" s="37">
        <v>1</v>
      </c>
    </row>
    <row r="1071" spans="2:6" x14ac:dyDescent="0.35">
      <c r="B1071" s="19" t="s">
        <v>781</v>
      </c>
      <c r="C1071" s="19" t="s">
        <v>924</v>
      </c>
      <c r="D1071" s="7" t="s">
        <v>370</v>
      </c>
      <c r="E1071" s="7" t="s">
        <v>594</v>
      </c>
      <c r="F1071" s="37">
        <v>3</v>
      </c>
    </row>
    <row r="1072" spans="2:6" x14ac:dyDescent="0.35">
      <c r="B1072" s="19" t="s">
        <v>781</v>
      </c>
      <c r="C1072" s="19" t="s">
        <v>924</v>
      </c>
      <c r="D1072" s="7" t="s">
        <v>374</v>
      </c>
      <c r="E1072" s="7" t="s">
        <v>637</v>
      </c>
      <c r="F1072" s="37">
        <v>4</v>
      </c>
    </row>
    <row r="1073" spans="2:6" x14ac:dyDescent="0.35">
      <c r="B1073" s="19" t="s">
        <v>781</v>
      </c>
      <c r="C1073" s="19" t="s">
        <v>924</v>
      </c>
      <c r="D1073" s="7" t="s">
        <v>376</v>
      </c>
      <c r="E1073" s="7" t="s">
        <v>665</v>
      </c>
      <c r="F1073" s="37">
        <v>1</v>
      </c>
    </row>
    <row r="1074" spans="2:6" x14ac:dyDescent="0.35">
      <c r="B1074" s="19" t="s">
        <v>781</v>
      </c>
      <c r="C1074" s="19" t="s">
        <v>924</v>
      </c>
      <c r="D1074" s="7" t="s">
        <v>384</v>
      </c>
      <c r="E1074" s="7" t="s">
        <v>780</v>
      </c>
      <c r="F1074" s="37">
        <v>3</v>
      </c>
    </row>
    <row r="1075" spans="2:6" x14ac:dyDescent="0.35">
      <c r="B1075" s="19" t="s">
        <v>781</v>
      </c>
      <c r="C1075" s="19" t="s">
        <v>924</v>
      </c>
      <c r="D1075" s="7" t="s">
        <v>480</v>
      </c>
      <c r="E1075" s="7" t="s">
        <v>561</v>
      </c>
      <c r="F1075" s="37">
        <v>0.01</v>
      </c>
    </row>
    <row r="1076" spans="2:6" x14ac:dyDescent="0.35">
      <c r="B1076" s="19" t="s">
        <v>781</v>
      </c>
      <c r="C1076" s="19" t="s">
        <v>924</v>
      </c>
      <c r="D1076" s="7" t="s">
        <v>482</v>
      </c>
      <c r="E1076" s="7" t="s">
        <v>562</v>
      </c>
      <c r="F1076" s="37">
        <v>2E-3</v>
      </c>
    </row>
    <row r="1077" spans="2:6" x14ac:dyDescent="0.35">
      <c r="B1077" s="19" t="s">
        <v>781</v>
      </c>
      <c r="C1077" s="19" t="s">
        <v>924</v>
      </c>
      <c r="D1077" s="7" t="s">
        <v>486</v>
      </c>
      <c r="E1077" s="7" t="s">
        <v>638</v>
      </c>
      <c r="F1077" s="37">
        <v>4</v>
      </c>
    </row>
    <row r="1078" spans="2:6" x14ac:dyDescent="0.35">
      <c r="B1078" s="19" t="s">
        <v>781</v>
      </c>
      <c r="C1078" s="19" t="s">
        <v>924</v>
      </c>
      <c r="D1078" s="7" t="s">
        <v>488</v>
      </c>
      <c r="E1078" s="7" t="s">
        <v>666</v>
      </c>
      <c r="F1078" s="37">
        <v>1</v>
      </c>
    </row>
    <row r="1079" spans="2:6" x14ac:dyDescent="0.35">
      <c r="B1079" s="33" t="s">
        <v>800</v>
      </c>
      <c r="C1079" s="19" t="s">
        <v>926</v>
      </c>
      <c r="D1079" s="6" t="s">
        <v>120</v>
      </c>
      <c r="E1079" s="7" t="s">
        <v>801</v>
      </c>
      <c r="F1079" s="37">
        <v>2</v>
      </c>
    </row>
    <row r="1080" spans="2:6" x14ac:dyDescent="0.35">
      <c r="B1080" s="33" t="s">
        <v>800</v>
      </c>
      <c r="C1080" s="19" t="s">
        <v>926</v>
      </c>
      <c r="D1080" s="7" t="s">
        <v>128</v>
      </c>
      <c r="E1080" s="7" t="s">
        <v>802</v>
      </c>
      <c r="F1080" s="37">
        <v>2</v>
      </c>
    </row>
    <row r="1081" spans="2:6" x14ac:dyDescent="0.35">
      <c r="B1081" s="33" t="s">
        <v>800</v>
      </c>
      <c r="C1081" s="19" t="s">
        <v>926</v>
      </c>
      <c r="D1081" s="7" t="s">
        <v>154</v>
      </c>
      <c r="E1081" s="7" t="s">
        <v>803</v>
      </c>
      <c r="F1081" s="37">
        <v>1</v>
      </c>
    </row>
    <row r="1082" spans="2:6" x14ac:dyDescent="0.35">
      <c r="B1082" s="33" t="s">
        <v>800</v>
      </c>
      <c r="C1082" s="19" t="s">
        <v>926</v>
      </c>
      <c r="D1082" s="6" t="s">
        <v>208</v>
      </c>
      <c r="E1082" s="7" t="s">
        <v>804</v>
      </c>
      <c r="F1082" s="37">
        <v>2</v>
      </c>
    </row>
    <row r="1083" spans="2:6" x14ac:dyDescent="0.35">
      <c r="B1083" s="33" t="s">
        <v>800</v>
      </c>
      <c r="C1083" s="19" t="s">
        <v>926</v>
      </c>
      <c r="D1083" s="6" t="s">
        <v>210</v>
      </c>
      <c r="E1083" s="7" t="s">
        <v>805</v>
      </c>
      <c r="F1083" s="37">
        <v>2</v>
      </c>
    </row>
    <row r="1084" spans="2:6" x14ac:dyDescent="0.35">
      <c r="B1084" s="33" t="s">
        <v>800</v>
      </c>
      <c r="C1084" s="19" t="s">
        <v>926</v>
      </c>
      <c r="D1084" s="6" t="s">
        <v>216</v>
      </c>
      <c r="E1084" s="7" t="s">
        <v>806</v>
      </c>
      <c r="F1084" s="37">
        <v>2</v>
      </c>
    </row>
    <row r="1085" spans="2:6" x14ac:dyDescent="0.35">
      <c r="B1085" s="33" t="s">
        <v>800</v>
      </c>
      <c r="C1085" s="19" t="s">
        <v>926</v>
      </c>
      <c r="D1085" s="7" t="s">
        <v>222</v>
      </c>
      <c r="E1085" s="7" t="s">
        <v>807</v>
      </c>
      <c r="F1085" s="37">
        <v>2</v>
      </c>
    </row>
    <row r="1086" spans="2:6" x14ac:dyDescent="0.35">
      <c r="B1086" s="33" t="s">
        <v>800</v>
      </c>
      <c r="C1086" s="19" t="s">
        <v>926</v>
      </c>
      <c r="D1086" s="7" t="s">
        <v>266</v>
      </c>
      <c r="E1086" s="7" t="s">
        <v>808</v>
      </c>
      <c r="F1086" s="37">
        <v>1</v>
      </c>
    </row>
    <row r="1087" spans="2:6" x14ac:dyDescent="0.35">
      <c r="B1087" s="33" t="s">
        <v>800</v>
      </c>
      <c r="C1087" s="19" t="s">
        <v>926</v>
      </c>
      <c r="D1087" s="7" t="s">
        <v>286</v>
      </c>
      <c r="E1087" s="7" t="s">
        <v>772</v>
      </c>
      <c r="F1087" s="37">
        <v>3</v>
      </c>
    </row>
    <row r="1088" spans="2:6" x14ac:dyDescent="0.35">
      <c r="B1088" s="33" t="s">
        <v>800</v>
      </c>
      <c r="C1088" s="19" t="s">
        <v>926</v>
      </c>
      <c r="D1088" s="7" t="s">
        <v>296</v>
      </c>
      <c r="E1088" s="7" t="s">
        <v>773</v>
      </c>
      <c r="F1088" s="37">
        <v>3</v>
      </c>
    </row>
    <row r="1089" spans="2:6" x14ac:dyDescent="0.35">
      <c r="B1089" s="33" t="s">
        <v>800</v>
      </c>
      <c r="C1089" s="19" t="s">
        <v>926</v>
      </c>
      <c r="D1089" s="7" t="s">
        <v>322</v>
      </c>
      <c r="E1089" s="7" t="s">
        <v>809</v>
      </c>
      <c r="F1089" s="37">
        <v>4</v>
      </c>
    </row>
    <row r="1090" spans="2:6" x14ac:dyDescent="0.35">
      <c r="B1090" s="33" t="s">
        <v>800</v>
      </c>
      <c r="C1090" s="19" t="s">
        <v>926</v>
      </c>
      <c r="D1090" s="7" t="s">
        <v>328</v>
      </c>
      <c r="E1090" s="7" t="s">
        <v>776</v>
      </c>
      <c r="F1090" s="37">
        <v>2</v>
      </c>
    </row>
    <row r="1091" spans="2:6" x14ac:dyDescent="0.35">
      <c r="B1091" s="33" t="s">
        <v>800</v>
      </c>
      <c r="C1091" s="19" t="s">
        <v>926</v>
      </c>
      <c r="D1091" s="7" t="s">
        <v>330</v>
      </c>
      <c r="E1091" s="7" t="s">
        <v>777</v>
      </c>
      <c r="F1091" s="37">
        <v>1</v>
      </c>
    </row>
    <row r="1092" spans="2:6" x14ac:dyDescent="0.35">
      <c r="B1092" s="33" t="s">
        <v>800</v>
      </c>
      <c r="C1092" s="19" t="s">
        <v>926</v>
      </c>
      <c r="D1092" s="7" t="s">
        <v>344</v>
      </c>
      <c r="E1092" s="7" t="s">
        <v>663</v>
      </c>
      <c r="F1092" s="37">
        <v>5</v>
      </c>
    </row>
    <row r="1093" spans="2:6" x14ac:dyDescent="0.35">
      <c r="B1093" s="33" t="s">
        <v>800</v>
      </c>
      <c r="C1093" s="19" t="s">
        <v>926</v>
      </c>
      <c r="D1093" s="7" t="s">
        <v>348</v>
      </c>
      <c r="E1093" s="7" t="s">
        <v>591</v>
      </c>
      <c r="F1093" s="37">
        <v>1</v>
      </c>
    </row>
    <row r="1094" spans="2:6" x14ac:dyDescent="0.35">
      <c r="B1094" s="33" t="s">
        <v>800</v>
      </c>
      <c r="C1094" s="19" t="s">
        <v>926</v>
      </c>
      <c r="D1094" s="7" t="s">
        <v>350</v>
      </c>
      <c r="E1094" s="7" t="s">
        <v>778</v>
      </c>
      <c r="F1094" s="37">
        <v>2</v>
      </c>
    </row>
    <row r="1095" spans="2:6" x14ac:dyDescent="0.35">
      <c r="B1095" s="33" t="s">
        <v>800</v>
      </c>
      <c r="C1095" s="19" t="s">
        <v>926</v>
      </c>
      <c r="D1095" s="7" t="s">
        <v>352</v>
      </c>
      <c r="E1095" s="7" t="s">
        <v>779</v>
      </c>
      <c r="F1095" s="37">
        <v>3</v>
      </c>
    </row>
    <row r="1096" spans="2:6" x14ac:dyDescent="0.35">
      <c r="B1096" s="33" t="s">
        <v>800</v>
      </c>
      <c r="C1096" s="19" t="s">
        <v>926</v>
      </c>
      <c r="D1096" s="7" t="s">
        <v>360</v>
      </c>
      <c r="E1096" s="7" t="s">
        <v>593</v>
      </c>
      <c r="F1096" s="37">
        <v>3</v>
      </c>
    </row>
    <row r="1097" spans="2:6" x14ac:dyDescent="0.35">
      <c r="B1097" s="33" t="s">
        <v>800</v>
      </c>
      <c r="C1097" s="19" t="s">
        <v>926</v>
      </c>
      <c r="D1097" s="7" t="s">
        <v>368</v>
      </c>
      <c r="E1097" s="7" t="s">
        <v>664</v>
      </c>
      <c r="F1097" s="37">
        <v>5</v>
      </c>
    </row>
    <row r="1098" spans="2:6" x14ac:dyDescent="0.35">
      <c r="B1098" s="33" t="s">
        <v>800</v>
      </c>
      <c r="C1098" s="19" t="s">
        <v>926</v>
      </c>
      <c r="D1098" s="7" t="s">
        <v>370</v>
      </c>
      <c r="E1098" s="7" t="s">
        <v>594</v>
      </c>
      <c r="F1098" s="37">
        <v>3</v>
      </c>
    </row>
    <row r="1099" spans="2:6" x14ac:dyDescent="0.35">
      <c r="B1099" s="33" t="s">
        <v>800</v>
      </c>
      <c r="C1099" s="19" t="s">
        <v>926</v>
      </c>
      <c r="D1099" s="7" t="s">
        <v>376</v>
      </c>
      <c r="E1099" s="7" t="s">
        <v>665</v>
      </c>
      <c r="F1099" s="37">
        <v>5</v>
      </c>
    </row>
    <row r="1100" spans="2:6" x14ac:dyDescent="0.35">
      <c r="B1100" s="33" t="s">
        <v>800</v>
      </c>
      <c r="C1100" s="19" t="s">
        <v>926</v>
      </c>
      <c r="D1100" s="7" t="s">
        <v>384</v>
      </c>
      <c r="E1100" s="7" t="s">
        <v>780</v>
      </c>
      <c r="F1100" s="37">
        <v>3</v>
      </c>
    </row>
    <row r="1101" spans="2:6" x14ac:dyDescent="0.35">
      <c r="B1101" s="33" t="s">
        <v>800</v>
      </c>
      <c r="C1101" s="19" t="s">
        <v>926</v>
      </c>
      <c r="D1101" s="7" t="s">
        <v>480</v>
      </c>
      <c r="E1101" s="7" t="s">
        <v>561</v>
      </c>
      <c r="F1101" s="37">
        <v>0.01</v>
      </c>
    </row>
    <row r="1102" spans="2:6" x14ac:dyDescent="0.35">
      <c r="B1102" s="33" t="s">
        <v>800</v>
      </c>
      <c r="C1102" s="19" t="s">
        <v>926</v>
      </c>
      <c r="D1102" s="7" t="s">
        <v>482</v>
      </c>
      <c r="E1102" s="7" t="s">
        <v>562</v>
      </c>
      <c r="F1102" s="37">
        <v>2E-3</v>
      </c>
    </row>
    <row r="1103" spans="2:6" x14ac:dyDescent="0.35">
      <c r="B1103" s="33" t="s">
        <v>800</v>
      </c>
      <c r="C1103" s="19" t="s">
        <v>926</v>
      </c>
      <c r="D1103" s="7" t="s">
        <v>488</v>
      </c>
      <c r="E1103" s="7" t="s">
        <v>666</v>
      </c>
      <c r="F1103" s="37">
        <v>5</v>
      </c>
    </row>
    <row r="1104" spans="2:6" x14ac:dyDescent="0.35">
      <c r="B1104" s="34" t="str">
        <f>"8638270080010616"</f>
        <v>8638270080010616</v>
      </c>
      <c r="C1104" s="19" t="s">
        <v>890</v>
      </c>
      <c r="D1104" s="6" t="s">
        <v>40</v>
      </c>
      <c r="E1104" s="7" t="s">
        <v>721</v>
      </c>
      <c r="F1104" s="37">
        <v>1</v>
      </c>
    </row>
    <row r="1105" spans="2:6" x14ac:dyDescent="0.35">
      <c r="B1105" s="34" t="str">
        <f t="shared" ref="B1105:B1135" si="2">"8638270080010616"</f>
        <v>8638270080010616</v>
      </c>
      <c r="C1105" s="19" t="s">
        <v>890</v>
      </c>
      <c r="D1105" s="7" t="s">
        <v>134</v>
      </c>
      <c r="E1105" s="7" t="s">
        <v>574</v>
      </c>
      <c r="F1105" s="37">
        <v>1</v>
      </c>
    </row>
    <row r="1106" spans="2:6" x14ac:dyDescent="0.35">
      <c r="B1106" s="34" t="str">
        <f t="shared" si="2"/>
        <v>8638270080010616</v>
      </c>
      <c r="C1106" s="19" t="s">
        <v>890</v>
      </c>
      <c r="D1106" s="7" t="s">
        <v>136</v>
      </c>
      <c r="E1106" s="7" t="s">
        <v>582</v>
      </c>
      <c r="F1106" s="37">
        <v>1</v>
      </c>
    </row>
    <row r="1107" spans="2:6" x14ac:dyDescent="0.35">
      <c r="B1107" s="34" t="str">
        <f t="shared" si="2"/>
        <v>8638270080010616</v>
      </c>
      <c r="C1107" s="19" t="s">
        <v>890</v>
      </c>
      <c r="D1107" s="6" t="s">
        <v>164</v>
      </c>
      <c r="E1107" s="7" t="s">
        <v>575</v>
      </c>
      <c r="F1107" s="37">
        <v>1</v>
      </c>
    </row>
    <row r="1108" spans="2:6" x14ac:dyDescent="0.35">
      <c r="B1108" s="34" t="str">
        <f t="shared" si="2"/>
        <v>8638270080010616</v>
      </c>
      <c r="C1108" s="19" t="s">
        <v>890</v>
      </c>
      <c r="D1108" s="6" t="s">
        <v>166</v>
      </c>
      <c r="E1108" s="7" t="s">
        <v>576</v>
      </c>
      <c r="F1108" s="37">
        <v>1</v>
      </c>
    </row>
    <row r="1109" spans="2:6" x14ac:dyDescent="0.35">
      <c r="B1109" s="34" t="str">
        <f t="shared" si="2"/>
        <v>8638270080010616</v>
      </c>
      <c r="C1109" s="19" t="s">
        <v>890</v>
      </c>
      <c r="D1109" s="6" t="s">
        <v>168</v>
      </c>
      <c r="E1109" s="7" t="s">
        <v>583</v>
      </c>
      <c r="F1109" s="37">
        <v>1</v>
      </c>
    </row>
    <row r="1110" spans="2:6" x14ac:dyDescent="0.35">
      <c r="B1110" s="34" t="str">
        <f t="shared" si="2"/>
        <v>8638270080010616</v>
      </c>
      <c r="C1110" s="19" t="s">
        <v>890</v>
      </c>
      <c r="D1110" s="6" t="s">
        <v>170</v>
      </c>
      <c r="E1110" s="7" t="s">
        <v>584</v>
      </c>
      <c r="F1110" s="37">
        <v>1</v>
      </c>
    </row>
    <row r="1111" spans="2:6" x14ac:dyDescent="0.35">
      <c r="B1111" s="34" t="str">
        <f t="shared" si="2"/>
        <v>8638270080010616</v>
      </c>
      <c r="C1111" s="19" t="s">
        <v>890</v>
      </c>
      <c r="D1111" s="7" t="s">
        <v>256</v>
      </c>
      <c r="E1111" s="7" t="s">
        <v>577</v>
      </c>
      <c r="F1111" s="37">
        <v>1</v>
      </c>
    </row>
    <row r="1112" spans="2:6" x14ac:dyDescent="0.35">
      <c r="B1112" s="34" t="str">
        <f t="shared" si="2"/>
        <v>8638270080010616</v>
      </c>
      <c r="C1112" s="19" t="s">
        <v>890</v>
      </c>
      <c r="D1112" s="7" t="s">
        <v>260</v>
      </c>
      <c r="E1112" s="7" t="s">
        <v>597</v>
      </c>
      <c r="F1112" s="37">
        <v>1</v>
      </c>
    </row>
    <row r="1113" spans="2:6" x14ac:dyDescent="0.35">
      <c r="B1113" s="34" t="str">
        <f t="shared" si="2"/>
        <v>8638270080010616</v>
      </c>
      <c r="C1113" s="19" t="s">
        <v>890</v>
      </c>
      <c r="D1113" s="7" t="s">
        <v>272</v>
      </c>
      <c r="E1113" s="7" t="s">
        <v>578</v>
      </c>
      <c r="F1113" s="37">
        <v>1</v>
      </c>
    </row>
    <row r="1114" spans="2:6" x14ac:dyDescent="0.35">
      <c r="B1114" s="34" t="str">
        <f t="shared" si="2"/>
        <v>8638270080010616</v>
      </c>
      <c r="C1114" s="19" t="s">
        <v>890</v>
      </c>
      <c r="D1114" s="7" t="s">
        <v>274</v>
      </c>
      <c r="E1114" s="7" t="s">
        <v>586</v>
      </c>
      <c r="F1114" s="37">
        <v>1</v>
      </c>
    </row>
    <row r="1115" spans="2:6" x14ac:dyDescent="0.35">
      <c r="B1115" s="34" t="str">
        <f t="shared" si="2"/>
        <v>8638270080010616</v>
      </c>
      <c r="C1115" s="19" t="s">
        <v>890</v>
      </c>
      <c r="D1115" s="7" t="s">
        <v>280</v>
      </c>
      <c r="E1115" s="7" t="s">
        <v>631</v>
      </c>
      <c r="F1115" s="37">
        <v>1</v>
      </c>
    </row>
    <row r="1116" spans="2:6" x14ac:dyDescent="0.35">
      <c r="B1116" s="34" t="str">
        <f t="shared" si="2"/>
        <v>8638270080010616</v>
      </c>
      <c r="C1116" s="19" t="s">
        <v>890</v>
      </c>
      <c r="D1116" s="7" t="s">
        <v>284</v>
      </c>
      <c r="E1116" s="7" t="s">
        <v>587</v>
      </c>
      <c r="F1116" s="37">
        <v>1</v>
      </c>
    </row>
    <row r="1117" spans="2:6" x14ac:dyDescent="0.35">
      <c r="B1117" s="34" t="str">
        <f t="shared" si="2"/>
        <v>8638270080010616</v>
      </c>
      <c r="C1117" s="19" t="s">
        <v>890</v>
      </c>
      <c r="D1117" s="7" t="s">
        <v>290</v>
      </c>
      <c r="E1117" s="7" t="s">
        <v>632</v>
      </c>
      <c r="F1117" s="37">
        <v>1</v>
      </c>
    </row>
    <row r="1118" spans="2:6" x14ac:dyDescent="0.35">
      <c r="B1118" s="34" t="str">
        <f t="shared" si="2"/>
        <v>8638270080010616</v>
      </c>
      <c r="C1118" s="19" t="s">
        <v>890</v>
      </c>
      <c r="D1118" s="7" t="s">
        <v>294</v>
      </c>
      <c r="E1118" s="7" t="s">
        <v>588</v>
      </c>
      <c r="F1118" s="37">
        <v>1</v>
      </c>
    </row>
    <row r="1119" spans="2:6" x14ac:dyDescent="0.35">
      <c r="B1119" s="34" t="str">
        <f t="shared" si="2"/>
        <v>8638270080010616</v>
      </c>
      <c r="C1119" s="19" t="s">
        <v>890</v>
      </c>
      <c r="D1119" s="7" t="s">
        <v>302</v>
      </c>
      <c r="E1119" s="7" t="s">
        <v>579</v>
      </c>
      <c r="F1119" s="37">
        <v>1</v>
      </c>
    </row>
    <row r="1120" spans="2:6" x14ac:dyDescent="0.35">
      <c r="B1120" s="34" t="str">
        <f t="shared" si="2"/>
        <v>8638270080010616</v>
      </c>
      <c r="C1120" s="19" t="s">
        <v>890</v>
      </c>
      <c r="D1120" s="7" t="s">
        <v>304</v>
      </c>
      <c r="E1120" s="7" t="s">
        <v>589</v>
      </c>
      <c r="F1120" s="37">
        <v>1</v>
      </c>
    </row>
    <row r="1121" spans="2:6" x14ac:dyDescent="0.35">
      <c r="B1121" s="34" t="str">
        <f t="shared" si="2"/>
        <v>8638270080010616</v>
      </c>
      <c r="C1121" s="19" t="s">
        <v>890</v>
      </c>
      <c r="D1121" s="7" t="s">
        <v>332</v>
      </c>
      <c r="E1121" s="7" t="s">
        <v>552</v>
      </c>
      <c r="F1121" s="37">
        <v>4</v>
      </c>
    </row>
    <row r="1122" spans="2:6" x14ac:dyDescent="0.35">
      <c r="B1122" s="34" t="str">
        <f t="shared" si="2"/>
        <v>8638270080010616</v>
      </c>
      <c r="C1122" s="19" t="s">
        <v>890</v>
      </c>
      <c r="D1122" s="7" t="s">
        <v>338</v>
      </c>
      <c r="E1122" s="7" t="s">
        <v>590</v>
      </c>
      <c r="F1122" s="37">
        <v>2</v>
      </c>
    </row>
    <row r="1123" spans="2:6" x14ac:dyDescent="0.35">
      <c r="B1123" s="34" t="str">
        <f t="shared" si="2"/>
        <v>8638270080010616</v>
      </c>
      <c r="C1123" s="19" t="s">
        <v>890</v>
      </c>
      <c r="D1123" s="7" t="s">
        <v>346</v>
      </c>
      <c r="E1123" s="7" t="s">
        <v>554</v>
      </c>
      <c r="F1123" s="37">
        <v>1</v>
      </c>
    </row>
    <row r="1124" spans="2:6" x14ac:dyDescent="0.35">
      <c r="B1124" s="34" t="str">
        <f t="shared" si="2"/>
        <v>8638270080010616</v>
      </c>
      <c r="C1124" s="19" t="s">
        <v>890</v>
      </c>
      <c r="D1124" s="7" t="s">
        <v>348</v>
      </c>
      <c r="E1124" s="7" t="s">
        <v>591</v>
      </c>
      <c r="F1124" s="37">
        <v>1</v>
      </c>
    </row>
    <row r="1125" spans="2:6" x14ac:dyDescent="0.35">
      <c r="B1125" s="34" t="str">
        <f t="shared" si="2"/>
        <v>8638270080010616</v>
      </c>
      <c r="C1125" s="19" t="s">
        <v>890</v>
      </c>
      <c r="D1125" s="7" t="s">
        <v>358</v>
      </c>
      <c r="E1125" s="7" t="s">
        <v>592</v>
      </c>
      <c r="F1125" s="37">
        <v>2</v>
      </c>
    </row>
    <row r="1126" spans="2:6" x14ac:dyDescent="0.35">
      <c r="B1126" s="34" t="str">
        <f t="shared" si="2"/>
        <v>8638270080010616</v>
      </c>
      <c r="C1126" s="19" t="s">
        <v>890</v>
      </c>
      <c r="D1126" s="7" t="s">
        <v>360</v>
      </c>
      <c r="E1126" s="7" t="s">
        <v>593</v>
      </c>
      <c r="F1126" s="37">
        <v>1</v>
      </c>
    </row>
    <row r="1127" spans="2:6" x14ac:dyDescent="0.35">
      <c r="B1127" s="34" t="str">
        <f t="shared" si="2"/>
        <v>8638270080010616</v>
      </c>
      <c r="C1127" s="19" t="s">
        <v>890</v>
      </c>
      <c r="D1127" s="7" t="s">
        <v>362</v>
      </c>
      <c r="E1127" s="7" t="s">
        <v>556</v>
      </c>
      <c r="F1127" s="37">
        <v>1</v>
      </c>
    </row>
    <row r="1128" spans="2:6" x14ac:dyDescent="0.35">
      <c r="B1128" s="34" t="str">
        <f t="shared" si="2"/>
        <v>8638270080010616</v>
      </c>
      <c r="C1128" s="19" t="s">
        <v>890</v>
      </c>
      <c r="D1128" s="7" t="s">
        <v>364</v>
      </c>
      <c r="E1128" s="7" t="s">
        <v>557</v>
      </c>
      <c r="F1128" s="37">
        <v>4</v>
      </c>
    </row>
    <row r="1129" spans="2:6" x14ac:dyDescent="0.35">
      <c r="B1129" s="34" t="str">
        <f t="shared" si="2"/>
        <v>8638270080010616</v>
      </c>
      <c r="C1129" s="19" t="s">
        <v>890</v>
      </c>
      <c r="D1129" s="7" t="s">
        <v>370</v>
      </c>
      <c r="E1129" s="7" t="s">
        <v>594</v>
      </c>
      <c r="F1129" s="37">
        <v>1</v>
      </c>
    </row>
    <row r="1130" spans="2:6" x14ac:dyDescent="0.35">
      <c r="B1130" s="34" t="str">
        <f t="shared" si="2"/>
        <v>8638270080010616</v>
      </c>
      <c r="C1130" s="19" t="s">
        <v>890</v>
      </c>
      <c r="D1130" s="7" t="s">
        <v>372</v>
      </c>
      <c r="E1130" s="7" t="s">
        <v>558</v>
      </c>
      <c r="F1130" s="37">
        <v>4</v>
      </c>
    </row>
    <row r="1131" spans="2:6" x14ac:dyDescent="0.35">
      <c r="B1131" s="34" t="str">
        <f t="shared" si="2"/>
        <v>8638270080010616</v>
      </c>
      <c r="C1131" s="19" t="s">
        <v>890</v>
      </c>
      <c r="D1131" s="7" t="s">
        <v>382</v>
      </c>
      <c r="E1131" s="7" t="s">
        <v>595</v>
      </c>
      <c r="F1131" s="37">
        <v>2</v>
      </c>
    </row>
    <row r="1132" spans="2:6" x14ac:dyDescent="0.35">
      <c r="B1132" s="34" t="str">
        <f t="shared" si="2"/>
        <v>8638270080010616</v>
      </c>
      <c r="C1132" s="19" t="s">
        <v>890</v>
      </c>
      <c r="D1132" s="7" t="s">
        <v>438</v>
      </c>
      <c r="E1132" s="7" t="s">
        <v>560</v>
      </c>
      <c r="F1132" s="37">
        <v>1</v>
      </c>
    </row>
    <row r="1133" spans="2:6" x14ac:dyDescent="0.35">
      <c r="B1133" s="34" t="str">
        <f t="shared" si="2"/>
        <v>8638270080010616</v>
      </c>
      <c r="C1133" s="19" t="s">
        <v>890</v>
      </c>
      <c r="D1133" s="7" t="s">
        <v>480</v>
      </c>
      <c r="E1133" s="7" t="s">
        <v>561</v>
      </c>
      <c r="F1133" s="37">
        <v>0.01</v>
      </c>
    </row>
    <row r="1134" spans="2:6" x14ac:dyDescent="0.35">
      <c r="B1134" s="34" t="str">
        <f t="shared" si="2"/>
        <v>8638270080010616</v>
      </c>
      <c r="C1134" s="19" t="s">
        <v>890</v>
      </c>
      <c r="D1134" s="7" t="s">
        <v>482</v>
      </c>
      <c r="E1134" s="7" t="s">
        <v>562</v>
      </c>
      <c r="F1134" s="37">
        <v>2E-3</v>
      </c>
    </row>
    <row r="1135" spans="2:6" x14ac:dyDescent="0.35">
      <c r="B1135" s="34" t="str">
        <f t="shared" si="2"/>
        <v>8638270080010616</v>
      </c>
      <c r="C1135" s="19" t="s">
        <v>890</v>
      </c>
      <c r="D1135" s="7" t="s">
        <v>484</v>
      </c>
      <c r="E1135" s="7" t="s">
        <v>563</v>
      </c>
      <c r="F1135" s="37">
        <v>4</v>
      </c>
    </row>
    <row r="1136" spans="2:6" x14ac:dyDescent="0.35">
      <c r="B1136" s="34" t="str">
        <f>"8638270104013016"</f>
        <v>8638270104013016</v>
      </c>
      <c r="C1136" s="19" t="s">
        <v>891</v>
      </c>
      <c r="D1136" s="6" t="s">
        <v>42</v>
      </c>
      <c r="E1136" s="7" t="s">
        <v>810</v>
      </c>
      <c r="F1136" s="37">
        <v>1</v>
      </c>
    </row>
    <row r="1137" spans="2:6" x14ac:dyDescent="0.35">
      <c r="B1137" s="34" t="str">
        <f t="shared" ref="B1137:B1163" si="3">"8638270104013016"</f>
        <v>8638270104013016</v>
      </c>
      <c r="C1137" s="19" t="s">
        <v>891</v>
      </c>
      <c r="D1137" s="7" t="s">
        <v>136</v>
      </c>
      <c r="E1137" s="7" t="s">
        <v>582</v>
      </c>
      <c r="F1137" s="37">
        <v>1</v>
      </c>
    </row>
    <row r="1138" spans="2:6" x14ac:dyDescent="0.35">
      <c r="B1138" s="34" t="str">
        <f t="shared" si="3"/>
        <v>8638270104013016</v>
      </c>
      <c r="C1138" s="19" t="s">
        <v>891</v>
      </c>
      <c r="D1138" s="7" t="s">
        <v>138</v>
      </c>
      <c r="E1138" s="7" t="s">
        <v>600</v>
      </c>
      <c r="F1138" s="37">
        <v>1</v>
      </c>
    </row>
    <row r="1139" spans="2:6" x14ac:dyDescent="0.35">
      <c r="B1139" s="34" t="str">
        <f t="shared" si="3"/>
        <v>8638270104013016</v>
      </c>
      <c r="C1139" s="19" t="s">
        <v>891</v>
      </c>
      <c r="D1139" s="6" t="s">
        <v>168</v>
      </c>
      <c r="E1139" s="7" t="s">
        <v>583</v>
      </c>
      <c r="F1139" s="37">
        <v>1</v>
      </c>
    </row>
    <row r="1140" spans="2:6" x14ac:dyDescent="0.35">
      <c r="B1140" s="34" t="str">
        <f t="shared" si="3"/>
        <v>8638270104013016</v>
      </c>
      <c r="C1140" s="19" t="s">
        <v>891</v>
      </c>
      <c r="D1140" s="6" t="s">
        <v>170</v>
      </c>
      <c r="E1140" s="7" t="s">
        <v>584</v>
      </c>
      <c r="F1140" s="37">
        <v>1</v>
      </c>
    </row>
    <row r="1141" spans="2:6" x14ac:dyDescent="0.35">
      <c r="B1141" s="34" t="str">
        <f t="shared" si="3"/>
        <v>8638270104013016</v>
      </c>
      <c r="C1141" s="19" t="s">
        <v>891</v>
      </c>
      <c r="D1141" s="6" t="s">
        <v>176</v>
      </c>
      <c r="E1141" s="7" t="s">
        <v>601</v>
      </c>
      <c r="F1141" s="37">
        <v>1</v>
      </c>
    </row>
    <row r="1142" spans="2:6" x14ac:dyDescent="0.35">
      <c r="B1142" s="34" t="str">
        <f t="shared" si="3"/>
        <v>8638270104013016</v>
      </c>
      <c r="C1142" s="19" t="s">
        <v>891</v>
      </c>
      <c r="D1142" s="6" t="s">
        <v>178</v>
      </c>
      <c r="E1142" s="7" t="s">
        <v>602</v>
      </c>
      <c r="F1142" s="37">
        <v>1</v>
      </c>
    </row>
    <row r="1143" spans="2:6" x14ac:dyDescent="0.35">
      <c r="B1143" s="34" t="str">
        <f t="shared" si="3"/>
        <v>8638270104013016</v>
      </c>
      <c r="C1143" s="19" t="s">
        <v>891</v>
      </c>
      <c r="D1143" s="7" t="s">
        <v>224</v>
      </c>
      <c r="E1143" s="7" t="s">
        <v>603</v>
      </c>
      <c r="F1143" s="37">
        <v>1</v>
      </c>
    </row>
    <row r="1144" spans="2:6" x14ac:dyDescent="0.35">
      <c r="B1144" s="34" t="str">
        <f t="shared" si="3"/>
        <v>8638270104013016</v>
      </c>
      <c r="C1144" s="19" t="s">
        <v>891</v>
      </c>
      <c r="D1144" s="7" t="s">
        <v>226</v>
      </c>
      <c r="E1144" s="7" t="s">
        <v>604</v>
      </c>
      <c r="F1144" s="37">
        <v>1</v>
      </c>
    </row>
    <row r="1145" spans="2:6" x14ac:dyDescent="0.35">
      <c r="B1145" s="34" t="str">
        <f t="shared" si="3"/>
        <v>8638270104013016</v>
      </c>
      <c r="C1145" s="19" t="s">
        <v>891</v>
      </c>
      <c r="D1145" s="7" t="s">
        <v>258</v>
      </c>
      <c r="E1145" s="7" t="s">
        <v>585</v>
      </c>
      <c r="F1145" s="37">
        <v>1</v>
      </c>
    </row>
    <row r="1146" spans="2:6" x14ac:dyDescent="0.35">
      <c r="B1146" s="34" t="str">
        <f t="shared" si="3"/>
        <v>8638270104013016</v>
      </c>
      <c r="C1146" s="19" t="s">
        <v>891</v>
      </c>
      <c r="D1146" s="7" t="s">
        <v>274</v>
      </c>
      <c r="E1146" s="7" t="s">
        <v>586</v>
      </c>
      <c r="F1146" s="37">
        <v>1</v>
      </c>
    </row>
    <row r="1147" spans="2:6" x14ac:dyDescent="0.35">
      <c r="B1147" s="34" t="str">
        <f t="shared" si="3"/>
        <v>8638270104013016</v>
      </c>
      <c r="C1147" s="19" t="s">
        <v>891</v>
      </c>
      <c r="D1147" s="7" t="s">
        <v>284</v>
      </c>
      <c r="E1147" s="7" t="s">
        <v>587</v>
      </c>
      <c r="F1147" s="37">
        <v>2</v>
      </c>
    </row>
    <row r="1148" spans="2:6" x14ac:dyDescent="0.35">
      <c r="B1148" s="34" t="str">
        <f t="shared" si="3"/>
        <v>8638270104013016</v>
      </c>
      <c r="C1148" s="19" t="s">
        <v>891</v>
      </c>
      <c r="D1148" s="7" t="s">
        <v>294</v>
      </c>
      <c r="E1148" s="7" t="s">
        <v>588</v>
      </c>
      <c r="F1148" s="37">
        <v>2</v>
      </c>
    </row>
    <row r="1149" spans="2:6" x14ac:dyDescent="0.35">
      <c r="B1149" s="34" t="str">
        <f t="shared" si="3"/>
        <v>8638270104013016</v>
      </c>
      <c r="C1149" s="19" t="s">
        <v>891</v>
      </c>
      <c r="D1149" s="7" t="s">
        <v>304</v>
      </c>
      <c r="E1149" s="7" t="s">
        <v>589</v>
      </c>
      <c r="F1149" s="37">
        <v>1</v>
      </c>
    </row>
    <row r="1150" spans="2:6" x14ac:dyDescent="0.35">
      <c r="B1150" s="34" t="str">
        <f t="shared" si="3"/>
        <v>8638270104013016</v>
      </c>
      <c r="C1150" s="19" t="s">
        <v>891</v>
      </c>
      <c r="D1150" s="7" t="s">
        <v>306</v>
      </c>
      <c r="E1150" s="7" t="s">
        <v>605</v>
      </c>
      <c r="F1150" s="37">
        <v>2</v>
      </c>
    </row>
    <row r="1151" spans="2:6" x14ac:dyDescent="0.35">
      <c r="B1151" s="34" t="str">
        <f t="shared" si="3"/>
        <v>8638270104013016</v>
      </c>
      <c r="C1151" s="19" t="s">
        <v>891</v>
      </c>
      <c r="D1151" s="7" t="s">
        <v>332</v>
      </c>
      <c r="E1151" s="7" t="s">
        <v>552</v>
      </c>
      <c r="F1151" s="37">
        <v>4</v>
      </c>
    </row>
    <row r="1152" spans="2:6" x14ac:dyDescent="0.35">
      <c r="B1152" s="34" t="str">
        <f t="shared" si="3"/>
        <v>8638270104013016</v>
      </c>
      <c r="C1152" s="19" t="s">
        <v>891</v>
      </c>
      <c r="D1152" s="7" t="s">
        <v>338</v>
      </c>
      <c r="E1152" s="7" t="s">
        <v>590</v>
      </c>
      <c r="F1152" s="37">
        <v>1</v>
      </c>
    </row>
    <row r="1153" spans="2:6" x14ac:dyDescent="0.35">
      <c r="B1153" s="34" t="str">
        <f t="shared" si="3"/>
        <v>8638270104013016</v>
      </c>
      <c r="C1153" s="19" t="s">
        <v>891</v>
      </c>
      <c r="D1153" s="7" t="s">
        <v>340</v>
      </c>
      <c r="E1153" s="7" t="s">
        <v>606</v>
      </c>
      <c r="F1153" s="37">
        <v>1</v>
      </c>
    </row>
    <row r="1154" spans="2:6" x14ac:dyDescent="0.35">
      <c r="B1154" s="34" t="str">
        <f t="shared" si="3"/>
        <v>8638270104013016</v>
      </c>
      <c r="C1154" s="19" t="s">
        <v>891</v>
      </c>
      <c r="D1154" s="7" t="s">
        <v>348</v>
      </c>
      <c r="E1154" s="7" t="s">
        <v>591</v>
      </c>
      <c r="F1154" s="37">
        <v>2</v>
      </c>
    </row>
    <row r="1155" spans="2:6" x14ac:dyDescent="0.35">
      <c r="B1155" s="34" t="str">
        <f t="shared" si="3"/>
        <v>8638270104013016</v>
      </c>
      <c r="C1155" s="19" t="s">
        <v>891</v>
      </c>
      <c r="D1155" s="7" t="s">
        <v>358</v>
      </c>
      <c r="E1155" s="7" t="s">
        <v>592</v>
      </c>
      <c r="F1155" s="37">
        <v>2</v>
      </c>
    </row>
    <row r="1156" spans="2:6" x14ac:dyDescent="0.35">
      <c r="B1156" s="34" t="str">
        <f t="shared" si="3"/>
        <v>8638270104013016</v>
      </c>
      <c r="C1156" s="19" t="s">
        <v>891</v>
      </c>
      <c r="D1156" s="7" t="s">
        <v>360</v>
      </c>
      <c r="E1156" s="7" t="s">
        <v>593</v>
      </c>
      <c r="F1156" s="37">
        <v>2</v>
      </c>
    </row>
    <row r="1157" spans="2:6" x14ac:dyDescent="0.35">
      <c r="B1157" s="34" t="str">
        <f t="shared" si="3"/>
        <v>8638270104013016</v>
      </c>
      <c r="C1157" s="19" t="s">
        <v>891</v>
      </c>
      <c r="D1157" s="7" t="s">
        <v>364</v>
      </c>
      <c r="E1157" s="7" t="s">
        <v>557</v>
      </c>
      <c r="F1157" s="37">
        <v>4</v>
      </c>
    </row>
    <row r="1158" spans="2:6" x14ac:dyDescent="0.35">
      <c r="B1158" s="34" t="str">
        <f t="shared" si="3"/>
        <v>8638270104013016</v>
      </c>
      <c r="C1158" s="19" t="s">
        <v>891</v>
      </c>
      <c r="D1158" s="7" t="s">
        <v>370</v>
      </c>
      <c r="E1158" s="7" t="s">
        <v>594</v>
      </c>
      <c r="F1158" s="37">
        <v>2</v>
      </c>
    </row>
    <row r="1159" spans="2:6" x14ac:dyDescent="0.35">
      <c r="B1159" s="34" t="str">
        <f t="shared" si="3"/>
        <v>8638270104013016</v>
      </c>
      <c r="C1159" s="19" t="s">
        <v>891</v>
      </c>
      <c r="D1159" s="7" t="s">
        <v>372</v>
      </c>
      <c r="E1159" s="7" t="s">
        <v>558</v>
      </c>
      <c r="F1159" s="37">
        <v>4</v>
      </c>
    </row>
    <row r="1160" spans="2:6" x14ac:dyDescent="0.35">
      <c r="B1160" s="34" t="str">
        <f t="shared" si="3"/>
        <v>8638270104013016</v>
      </c>
      <c r="C1160" s="19" t="s">
        <v>891</v>
      </c>
      <c r="D1160" s="7" t="s">
        <v>382</v>
      </c>
      <c r="E1160" s="7" t="s">
        <v>595</v>
      </c>
      <c r="F1160" s="37">
        <v>2</v>
      </c>
    </row>
    <row r="1161" spans="2:6" x14ac:dyDescent="0.35">
      <c r="B1161" s="34" t="str">
        <f t="shared" si="3"/>
        <v>8638270104013016</v>
      </c>
      <c r="C1161" s="19" t="s">
        <v>891</v>
      </c>
      <c r="D1161" s="7" t="s">
        <v>480</v>
      </c>
      <c r="E1161" s="7" t="s">
        <v>561</v>
      </c>
      <c r="F1161" s="37">
        <v>0.01</v>
      </c>
    </row>
    <row r="1162" spans="2:6" x14ac:dyDescent="0.35">
      <c r="B1162" s="34" t="str">
        <f t="shared" si="3"/>
        <v>8638270104013016</v>
      </c>
      <c r="C1162" s="19" t="s">
        <v>891</v>
      </c>
      <c r="D1162" s="7" t="s">
        <v>482</v>
      </c>
      <c r="E1162" s="7" t="s">
        <v>562</v>
      </c>
      <c r="F1162" s="37">
        <v>2E-3</v>
      </c>
    </row>
    <row r="1163" spans="2:6" x14ac:dyDescent="0.35">
      <c r="B1163" s="34" t="str">
        <f t="shared" si="3"/>
        <v>8638270104013016</v>
      </c>
      <c r="C1163" s="19" t="s">
        <v>891</v>
      </c>
      <c r="D1163" s="7" t="s">
        <v>484</v>
      </c>
      <c r="E1163" s="7" t="s">
        <v>563</v>
      </c>
      <c r="F1163" s="37">
        <v>4</v>
      </c>
    </row>
    <row r="1164" spans="2:6" x14ac:dyDescent="0.35">
      <c r="B1164" s="34" t="str">
        <f>"8638270104015816"</f>
        <v>8638270104015816</v>
      </c>
      <c r="C1164" s="19" t="s">
        <v>894</v>
      </c>
      <c r="D1164" s="6" t="s">
        <v>44</v>
      </c>
      <c r="E1164" s="7" t="s">
        <v>811</v>
      </c>
      <c r="F1164" s="37">
        <v>1</v>
      </c>
    </row>
    <row r="1165" spans="2:6" x14ac:dyDescent="0.35">
      <c r="B1165" s="34" t="str">
        <f t="shared" ref="B1165:B1191" si="4">"8638270104015816"</f>
        <v>8638270104015816</v>
      </c>
      <c r="C1165" s="19" t="s">
        <v>894</v>
      </c>
      <c r="D1165" s="7" t="s">
        <v>136</v>
      </c>
      <c r="E1165" s="7" t="s">
        <v>582</v>
      </c>
      <c r="F1165" s="37">
        <v>1</v>
      </c>
    </row>
    <row r="1166" spans="2:6" x14ac:dyDescent="0.35">
      <c r="B1166" s="34" t="str">
        <f t="shared" si="4"/>
        <v>8638270104015816</v>
      </c>
      <c r="C1166" s="19" t="s">
        <v>894</v>
      </c>
      <c r="D1166" s="7" t="s">
        <v>140</v>
      </c>
      <c r="E1166" s="7" t="s">
        <v>609</v>
      </c>
      <c r="F1166" s="37">
        <v>1</v>
      </c>
    </row>
    <row r="1167" spans="2:6" x14ac:dyDescent="0.35">
      <c r="B1167" s="34" t="str">
        <f t="shared" si="4"/>
        <v>8638270104015816</v>
      </c>
      <c r="C1167" s="19" t="s">
        <v>894</v>
      </c>
      <c r="D1167" s="6" t="s">
        <v>168</v>
      </c>
      <c r="E1167" s="7" t="s">
        <v>583</v>
      </c>
      <c r="F1167" s="37">
        <v>1</v>
      </c>
    </row>
    <row r="1168" spans="2:6" x14ac:dyDescent="0.35">
      <c r="B1168" s="34" t="str">
        <f t="shared" si="4"/>
        <v>8638270104015816</v>
      </c>
      <c r="C1168" s="19" t="s">
        <v>894</v>
      </c>
      <c r="D1168" s="6" t="s">
        <v>170</v>
      </c>
      <c r="E1168" s="7" t="s">
        <v>584</v>
      </c>
      <c r="F1168" s="37">
        <v>1</v>
      </c>
    </row>
    <row r="1169" spans="2:6" x14ac:dyDescent="0.35">
      <c r="B1169" s="34" t="str">
        <f t="shared" si="4"/>
        <v>8638270104015816</v>
      </c>
      <c r="C1169" s="19" t="s">
        <v>894</v>
      </c>
      <c r="D1169" s="6" t="s">
        <v>180</v>
      </c>
      <c r="E1169" s="7" t="s">
        <v>610</v>
      </c>
      <c r="F1169" s="37">
        <v>1</v>
      </c>
    </row>
    <row r="1170" spans="2:6" x14ac:dyDescent="0.35">
      <c r="B1170" s="34" t="str">
        <f t="shared" si="4"/>
        <v>8638270104015816</v>
      </c>
      <c r="C1170" s="19" t="s">
        <v>894</v>
      </c>
      <c r="D1170" s="6" t="s">
        <v>182</v>
      </c>
      <c r="E1170" s="7" t="s">
        <v>611</v>
      </c>
      <c r="F1170" s="37">
        <v>1</v>
      </c>
    </row>
    <row r="1171" spans="2:6" x14ac:dyDescent="0.35">
      <c r="B1171" s="34" t="str">
        <f t="shared" si="4"/>
        <v>8638270104015816</v>
      </c>
      <c r="C1171" s="19" t="s">
        <v>894</v>
      </c>
      <c r="D1171" s="7" t="s">
        <v>228</v>
      </c>
      <c r="E1171" s="7" t="s">
        <v>612</v>
      </c>
      <c r="F1171" s="37">
        <v>1</v>
      </c>
    </row>
    <row r="1172" spans="2:6" x14ac:dyDescent="0.35">
      <c r="B1172" s="34" t="str">
        <f t="shared" si="4"/>
        <v>8638270104015816</v>
      </c>
      <c r="C1172" s="19" t="s">
        <v>894</v>
      </c>
      <c r="D1172" s="7" t="s">
        <v>230</v>
      </c>
      <c r="E1172" s="7" t="s">
        <v>613</v>
      </c>
      <c r="F1172" s="37">
        <v>1</v>
      </c>
    </row>
    <row r="1173" spans="2:6" x14ac:dyDescent="0.35">
      <c r="B1173" s="34" t="str">
        <f t="shared" si="4"/>
        <v>8638270104015816</v>
      </c>
      <c r="C1173" s="19" t="s">
        <v>894</v>
      </c>
      <c r="D1173" s="7" t="s">
        <v>258</v>
      </c>
      <c r="E1173" s="7" t="s">
        <v>585</v>
      </c>
      <c r="F1173" s="37">
        <v>1</v>
      </c>
    </row>
    <row r="1174" spans="2:6" x14ac:dyDescent="0.35">
      <c r="B1174" s="34" t="str">
        <f t="shared" si="4"/>
        <v>8638270104015816</v>
      </c>
      <c r="C1174" s="19" t="s">
        <v>894</v>
      </c>
      <c r="D1174" s="7" t="s">
        <v>274</v>
      </c>
      <c r="E1174" s="7" t="s">
        <v>586</v>
      </c>
      <c r="F1174" s="37">
        <v>1</v>
      </c>
    </row>
    <row r="1175" spans="2:6" x14ac:dyDescent="0.35">
      <c r="B1175" s="34" t="str">
        <f t="shared" si="4"/>
        <v>8638270104015816</v>
      </c>
      <c r="C1175" s="19" t="s">
        <v>894</v>
      </c>
      <c r="D1175" s="7" t="s">
        <v>284</v>
      </c>
      <c r="E1175" s="7" t="s">
        <v>587</v>
      </c>
      <c r="F1175" s="37">
        <v>2</v>
      </c>
    </row>
    <row r="1176" spans="2:6" x14ac:dyDescent="0.35">
      <c r="B1176" s="34" t="str">
        <f t="shared" si="4"/>
        <v>8638270104015816</v>
      </c>
      <c r="C1176" s="19" t="s">
        <v>894</v>
      </c>
      <c r="D1176" s="7" t="s">
        <v>294</v>
      </c>
      <c r="E1176" s="7" t="s">
        <v>588</v>
      </c>
      <c r="F1176" s="37">
        <v>2</v>
      </c>
    </row>
    <row r="1177" spans="2:6" x14ac:dyDescent="0.35">
      <c r="B1177" s="34" t="str">
        <f t="shared" si="4"/>
        <v>8638270104015816</v>
      </c>
      <c r="C1177" s="19" t="s">
        <v>894</v>
      </c>
      <c r="D1177" s="7" t="s">
        <v>304</v>
      </c>
      <c r="E1177" s="7" t="s">
        <v>589</v>
      </c>
      <c r="F1177" s="37">
        <v>1</v>
      </c>
    </row>
    <row r="1178" spans="2:6" x14ac:dyDescent="0.35">
      <c r="B1178" s="34" t="str">
        <f t="shared" si="4"/>
        <v>8638270104015816</v>
      </c>
      <c r="C1178" s="19" t="s">
        <v>894</v>
      </c>
      <c r="D1178" s="7" t="s">
        <v>308</v>
      </c>
      <c r="E1178" s="7" t="s">
        <v>614</v>
      </c>
      <c r="F1178" s="37">
        <v>2</v>
      </c>
    </row>
    <row r="1179" spans="2:6" x14ac:dyDescent="0.35">
      <c r="B1179" s="34" t="str">
        <f t="shared" si="4"/>
        <v>8638270104015816</v>
      </c>
      <c r="C1179" s="19" t="s">
        <v>894</v>
      </c>
      <c r="D1179" s="7" t="s">
        <v>332</v>
      </c>
      <c r="E1179" s="7" t="s">
        <v>552</v>
      </c>
      <c r="F1179" s="37">
        <v>4</v>
      </c>
    </row>
    <row r="1180" spans="2:6" x14ac:dyDescent="0.35">
      <c r="B1180" s="34" t="str">
        <f t="shared" si="4"/>
        <v>8638270104015816</v>
      </c>
      <c r="C1180" s="19" t="s">
        <v>894</v>
      </c>
      <c r="D1180" s="7" t="s">
        <v>338</v>
      </c>
      <c r="E1180" s="7" t="s">
        <v>590</v>
      </c>
      <c r="F1180" s="37">
        <v>1</v>
      </c>
    </row>
    <row r="1181" spans="2:6" x14ac:dyDescent="0.35">
      <c r="B1181" s="34" t="str">
        <f t="shared" si="4"/>
        <v>8638270104015816</v>
      </c>
      <c r="C1181" s="19" t="s">
        <v>894</v>
      </c>
      <c r="D1181" s="7" t="s">
        <v>340</v>
      </c>
      <c r="E1181" s="7" t="s">
        <v>606</v>
      </c>
      <c r="F1181" s="37">
        <v>1</v>
      </c>
    </row>
    <row r="1182" spans="2:6" x14ac:dyDescent="0.35">
      <c r="B1182" s="34" t="str">
        <f t="shared" si="4"/>
        <v>8638270104015816</v>
      </c>
      <c r="C1182" s="19" t="s">
        <v>894</v>
      </c>
      <c r="D1182" s="7" t="s">
        <v>348</v>
      </c>
      <c r="E1182" s="7" t="s">
        <v>591</v>
      </c>
      <c r="F1182" s="37">
        <v>2</v>
      </c>
    </row>
    <row r="1183" spans="2:6" x14ac:dyDescent="0.35">
      <c r="B1183" s="34" t="str">
        <f t="shared" si="4"/>
        <v>8638270104015816</v>
      </c>
      <c r="C1183" s="19" t="s">
        <v>894</v>
      </c>
      <c r="D1183" s="7" t="s">
        <v>358</v>
      </c>
      <c r="E1183" s="7" t="s">
        <v>592</v>
      </c>
      <c r="F1183" s="37">
        <v>2</v>
      </c>
    </row>
    <row r="1184" spans="2:6" x14ac:dyDescent="0.35">
      <c r="B1184" s="34" t="str">
        <f t="shared" si="4"/>
        <v>8638270104015816</v>
      </c>
      <c r="C1184" s="19" t="s">
        <v>894</v>
      </c>
      <c r="D1184" s="7" t="s">
        <v>360</v>
      </c>
      <c r="E1184" s="7" t="s">
        <v>593</v>
      </c>
      <c r="F1184" s="37">
        <v>2</v>
      </c>
    </row>
    <row r="1185" spans="2:6" x14ac:dyDescent="0.35">
      <c r="B1185" s="34" t="str">
        <f t="shared" si="4"/>
        <v>8638270104015816</v>
      </c>
      <c r="C1185" s="19" t="s">
        <v>894</v>
      </c>
      <c r="D1185" s="7" t="s">
        <v>364</v>
      </c>
      <c r="E1185" s="7" t="s">
        <v>557</v>
      </c>
      <c r="F1185" s="37">
        <v>4</v>
      </c>
    </row>
    <row r="1186" spans="2:6" x14ac:dyDescent="0.35">
      <c r="B1186" s="34" t="str">
        <f t="shared" si="4"/>
        <v>8638270104015816</v>
      </c>
      <c r="C1186" s="19" t="s">
        <v>894</v>
      </c>
      <c r="D1186" s="7" t="s">
        <v>370</v>
      </c>
      <c r="E1186" s="7" t="s">
        <v>594</v>
      </c>
      <c r="F1186" s="37">
        <v>2</v>
      </c>
    </row>
    <row r="1187" spans="2:6" x14ac:dyDescent="0.35">
      <c r="B1187" s="34" t="str">
        <f t="shared" si="4"/>
        <v>8638270104015816</v>
      </c>
      <c r="C1187" s="19" t="s">
        <v>894</v>
      </c>
      <c r="D1187" s="7" t="s">
        <v>372</v>
      </c>
      <c r="E1187" s="7" t="s">
        <v>558</v>
      </c>
      <c r="F1187" s="37">
        <v>4</v>
      </c>
    </row>
    <row r="1188" spans="2:6" x14ac:dyDescent="0.35">
      <c r="B1188" s="34" t="str">
        <f t="shared" si="4"/>
        <v>8638270104015816</v>
      </c>
      <c r="C1188" s="19" t="s">
        <v>894</v>
      </c>
      <c r="D1188" s="7" t="s">
        <v>382</v>
      </c>
      <c r="E1188" s="7" t="s">
        <v>595</v>
      </c>
      <c r="F1188" s="37">
        <v>2</v>
      </c>
    </row>
    <row r="1189" spans="2:6" x14ac:dyDescent="0.35">
      <c r="B1189" s="34" t="str">
        <f t="shared" si="4"/>
        <v>8638270104015816</v>
      </c>
      <c r="C1189" s="19" t="s">
        <v>894</v>
      </c>
      <c r="D1189" s="7" t="s">
        <v>480</v>
      </c>
      <c r="E1189" s="7" t="s">
        <v>561</v>
      </c>
      <c r="F1189" s="37">
        <v>0.01</v>
      </c>
    </row>
    <row r="1190" spans="2:6" x14ac:dyDescent="0.35">
      <c r="B1190" s="34" t="str">
        <f t="shared" si="4"/>
        <v>8638270104015816</v>
      </c>
      <c r="C1190" s="19" t="s">
        <v>894</v>
      </c>
      <c r="D1190" s="7" t="s">
        <v>482</v>
      </c>
      <c r="E1190" s="7" t="s">
        <v>562</v>
      </c>
      <c r="F1190" s="37">
        <v>2E-3</v>
      </c>
    </row>
    <row r="1191" spans="2:6" x14ac:dyDescent="0.35">
      <c r="B1191" s="34" t="str">
        <f t="shared" si="4"/>
        <v>8638270104015816</v>
      </c>
      <c r="C1191" s="19" t="s">
        <v>894</v>
      </c>
      <c r="D1191" s="7" t="s">
        <v>484</v>
      </c>
      <c r="E1191" s="7" t="s">
        <v>563</v>
      </c>
      <c r="F1191" s="37">
        <v>4</v>
      </c>
    </row>
    <row r="1192" spans="2:6" x14ac:dyDescent="0.35">
      <c r="B1192" s="34" t="str">
        <f>"8638270106013016"</f>
        <v>8638270106013016</v>
      </c>
      <c r="C1192" s="19" t="s">
        <v>896</v>
      </c>
      <c r="D1192" s="6" t="s">
        <v>42</v>
      </c>
      <c r="E1192" s="7" t="s">
        <v>810</v>
      </c>
      <c r="F1192" s="37">
        <v>1</v>
      </c>
    </row>
    <row r="1193" spans="2:6" x14ac:dyDescent="0.35">
      <c r="B1193" s="34" t="str">
        <f t="shared" ref="B1193:B1219" si="5">"8638270106013016"</f>
        <v>8638270106013016</v>
      </c>
      <c r="C1193" s="19" t="s">
        <v>896</v>
      </c>
      <c r="D1193" s="7" t="s">
        <v>136</v>
      </c>
      <c r="E1193" s="7" t="s">
        <v>582</v>
      </c>
      <c r="F1193" s="37">
        <v>1</v>
      </c>
    </row>
    <row r="1194" spans="2:6" x14ac:dyDescent="0.35">
      <c r="B1194" s="34" t="str">
        <f t="shared" si="5"/>
        <v>8638270106013016</v>
      </c>
      <c r="C1194" s="19" t="s">
        <v>896</v>
      </c>
      <c r="D1194" s="7" t="s">
        <v>138</v>
      </c>
      <c r="E1194" s="7" t="s">
        <v>600</v>
      </c>
      <c r="F1194" s="37">
        <v>1</v>
      </c>
    </row>
    <row r="1195" spans="2:6" x14ac:dyDescent="0.35">
      <c r="B1195" s="34" t="str">
        <f t="shared" si="5"/>
        <v>8638270106013016</v>
      </c>
      <c r="C1195" s="19" t="s">
        <v>896</v>
      </c>
      <c r="D1195" s="6" t="s">
        <v>168</v>
      </c>
      <c r="E1195" s="7" t="s">
        <v>583</v>
      </c>
      <c r="F1195" s="37">
        <v>1</v>
      </c>
    </row>
    <row r="1196" spans="2:6" x14ac:dyDescent="0.35">
      <c r="B1196" s="34" t="str">
        <f t="shared" si="5"/>
        <v>8638270106013016</v>
      </c>
      <c r="C1196" s="19" t="s">
        <v>896</v>
      </c>
      <c r="D1196" s="6" t="s">
        <v>170</v>
      </c>
      <c r="E1196" s="7" t="s">
        <v>584</v>
      </c>
      <c r="F1196" s="37">
        <v>1</v>
      </c>
    </row>
    <row r="1197" spans="2:6" x14ac:dyDescent="0.35">
      <c r="B1197" s="34" t="str">
        <f t="shared" si="5"/>
        <v>8638270106013016</v>
      </c>
      <c r="C1197" s="19" t="s">
        <v>896</v>
      </c>
      <c r="D1197" s="6" t="s">
        <v>176</v>
      </c>
      <c r="E1197" s="7" t="s">
        <v>601</v>
      </c>
      <c r="F1197" s="37">
        <v>1</v>
      </c>
    </row>
    <row r="1198" spans="2:6" x14ac:dyDescent="0.35">
      <c r="B1198" s="34" t="str">
        <f t="shared" si="5"/>
        <v>8638270106013016</v>
      </c>
      <c r="C1198" s="19" t="s">
        <v>896</v>
      </c>
      <c r="D1198" s="6" t="s">
        <v>178</v>
      </c>
      <c r="E1198" s="7" t="s">
        <v>602</v>
      </c>
      <c r="F1198" s="37">
        <v>1</v>
      </c>
    </row>
    <row r="1199" spans="2:6" x14ac:dyDescent="0.35">
      <c r="B1199" s="34" t="str">
        <f t="shared" si="5"/>
        <v>8638270106013016</v>
      </c>
      <c r="C1199" s="19" t="s">
        <v>896</v>
      </c>
      <c r="D1199" s="7" t="s">
        <v>224</v>
      </c>
      <c r="E1199" s="7" t="s">
        <v>603</v>
      </c>
      <c r="F1199" s="37">
        <v>1</v>
      </c>
    </row>
    <row r="1200" spans="2:6" x14ac:dyDescent="0.35">
      <c r="B1200" s="34" t="str">
        <f t="shared" si="5"/>
        <v>8638270106013016</v>
      </c>
      <c r="C1200" s="19" t="s">
        <v>896</v>
      </c>
      <c r="D1200" s="7" t="s">
        <v>226</v>
      </c>
      <c r="E1200" s="7" t="s">
        <v>604</v>
      </c>
      <c r="F1200" s="37">
        <v>1</v>
      </c>
    </row>
    <row r="1201" spans="2:6" x14ac:dyDescent="0.35">
      <c r="B1201" s="34" t="str">
        <f t="shared" si="5"/>
        <v>8638270106013016</v>
      </c>
      <c r="C1201" s="19" t="s">
        <v>896</v>
      </c>
      <c r="D1201" s="7" t="s">
        <v>260</v>
      </c>
      <c r="E1201" s="7" t="s">
        <v>597</v>
      </c>
      <c r="F1201" s="37">
        <v>1</v>
      </c>
    </row>
    <row r="1202" spans="2:6" x14ac:dyDescent="0.35">
      <c r="B1202" s="34" t="str">
        <f t="shared" si="5"/>
        <v>8638270106013016</v>
      </c>
      <c r="C1202" s="19" t="s">
        <v>896</v>
      </c>
      <c r="D1202" s="7" t="s">
        <v>274</v>
      </c>
      <c r="E1202" s="7" t="s">
        <v>586</v>
      </c>
      <c r="F1202" s="37">
        <v>1</v>
      </c>
    </row>
    <row r="1203" spans="2:6" x14ac:dyDescent="0.35">
      <c r="B1203" s="34" t="str">
        <f t="shared" si="5"/>
        <v>8638270106013016</v>
      </c>
      <c r="C1203" s="19" t="s">
        <v>896</v>
      </c>
      <c r="D1203" s="7" t="s">
        <v>284</v>
      </c>
      <c r="E1203" s="7" t="s">
        <v>587</v>
      </c>
      <c r="F1203" s="37">
        <v>2</v>
      </c>
    </row>
    <row r="1204" spans="2:6" x14ac:dyDescent="0.35">
      <c r="B1204" s="34" t="str">
        <f t="shared" si="5"/>
        <v>8638270106013016</v>
      </c>
      <c r="C1204" s="19" t="s">
        <v>896</v>
      </c>
      <c r="D1204" s="7" t="s">
        <v>294</v>
      </c>
      <c r="E1204" s="7" t="s">
        <v>588</v>
      </c>
      <c r="F1204" s="37">
        <v>2</v>
      </c>
    </row>
    <row r="1205" spans="2:6" x14ac:dyDescent="0.35">
      <c r="B1205" s="34" t="str">
        <f t="shared" si="5"/>
        <v>8638270106013016</v>
      </c>
      <c r="C1205" s="19" t="s">
        <v>896</v>
      </c>
      <c r="D1205" s="7" t="s">
        <v>304</v>
      </c>
      <c r="E1205" s="7" t="s">
        <v>589</v>
      </c>
      <c r="F1205" s="37">
        <v>1</v>
      </c>
    </row>
    <row r="1206" spans="2:6" x14ac:dyDescent="0.35">
      <c r="B1206" s="34" t="str">
        <f t="shared" si="5"/>
        <v>8638270106013016</v>
      </c>
      <c r="C1206" s="19" t="s">
        <v>896</v>
      </c>
      <c r="D1206" s="7" t="s">
        <v>306</v>
      </c>
      <c r="E1206" s="7" t="s">
        <v>605</v>
      </c>
      <c r="F1206" s="37">
        <v>2</v>
      </c>
    </row>
    <row r="1207" spans="2:6" x14ac:dyDescent="0.35">
      <c r="B1207" s="34" t="str">
        <f t="shared" si="5"/>
        <v>8638270106013016</v>
      </c>
      <c r="C1207" s="19" t="s">
        <v>896</v>
      </c>
      <c r="D1207" s="7" t="s">
        <v>332</v>
      </c>
      <c r="E1207" s="7" t="s">
        <v>552</v>
      </c>
      <c r="F1207" s="37">
        <v>4</v>
      </c>
    </row>
    <row r="1208" spans="2:6" x14ac:dyDescent="0.35">
      <c r="B1208" s="34" t="str">
        <f t="shared" si="5"/>
        <v>8638270106013016</v>
      </c>
      <c r="C1208" s="19" t="s">
        <v>896</v>
      </c>
      <c r="D1208" s="7" t="s">
        <v>338</v>
      </c>
      <c r="E1208" s="7" t="s">
        <v>590</v>
      </c>
      <c r="F1208" s="37">
        <v>1</v>
      </c>
    </row>
    <row r="1209" spans="2:6" x14ac:dyDescent="0.35">
      <c r="B1209" s="34" t="str">
        <f t="shared" si="5"/>
        <v>8638270106013016</v>
      </c>
      <c r="C1209" s="19" t="s">
        <v>896</v>
      </c>
      <c r="D1209" s="7" t="s">
        <v>340</v>
      </c>
      <c r="E1209" s="7" t="s">
        <v>606</v>
      </c>
      <c r="F1209" s="37">
        <v>1</v>
      </c>
    </row>
    <row r="1210" spans="2:6" x14ac:dyDescent="0.35">
      <c r="B1210" s="34" t="str">
        <f t="shared" si="5"/>
        <v>8638270106013016</v>
      </c>
      <c r="C1210" s="19" t="s">
        <v>896</v>
      </c>
      <c r="D1210" s="7" t="s">
        <v>348</v>
      </c>
      <c r="E1210" s="7" t="s">
        <v>591</v>
      </c>
      <c r="F1210" s="37">
        <v>2</v>
      </c>
    </row>
    <row r="1211" spans="2:6" x14ac:dyDescent="0.35">
      <c r="B1211" s="34" t="str">
        <f t="shared" si="5"/>
        <v>8638270106013016</v>
      </c>
      <c r="C1211" s="19" t="s">
        <v>896</v>
      </c>
      <c r="D1211" s="7" t="s">
        <v>358</v>
      </c>
      <c r="E1211" s="7" t="s">
        <v>592</v>
      </c>
      <c r="F1211" s="37">
        <v>2</v>
      </c>
    </row>
    <row r="1212" spans="2:6" x14ac:dyDescent="0.35">
      <c r="B1212" s="34" t="str">
        <f t="shared" si="5"/>
        <v>8638270106013016</v>
      </c>
      <c r="C1212" s="19" t="s">
        <v>896</v>
      </c>
      <c r="D1212" s="7" t="s">
        <v>360</v>
      </c>
      <c r="E1212" s="7" t="s">
        <v>593</v>
      </c>
      <c r="F1212" s="37">
        <v>2</v>
      </c>
    </row>
    <row r="1213" spans="2:6" x14ac:dyDescent="0.35">
      <c r="B1213" s="34" t="str">
        <f t="shared" si="5"/>
        <v>8638270106013016</v>
      </c>
      <c r="C1213" s="19" t="s">
        <v>896</v>
      </c>
      <c r="D1213" s="7" t="s">
        <v>364</v>
      </c>
      <c r="E1213" s="7" t="s">
        <v>557</v>
      </c>
      <c r="F1213" s="37">
        <v>4</v>
      </c>
    </row>
    <row r="1214" spans="2:6" x14ac:dyDescent="0.35">
      <c r="B1214" s="34" t="str">
        <f t="shared" si="5"/>
        <v>8638270106013016</v>
      </c>
      <c r="C1214" s="19" t="s">
        <v>896</v>
      </c>
      <c r="D1214" s="7" t="s">
        <v>370</v>
      </c>
      <c r="E1214" s="7" t="s">
        <v>594</v>
      </c>
      <c r="F1214" s="37">
        <v>2</v>
      </c>
    </row>
    <row r="1215" spans="2:6" x14ac:dyDescent="0.35">
      <c r="B1215" s="34" t="str">
        <f t="shared" si="5"/>
        <v>8638270106013016</v>
      </c>
      <c r="C1215" s="19" t="s">
        <v>896</v>
      </c>
      <c r="D1215" s="7" t="s">
        <v>372</v>
      </c>
      <c r="E1215" s="7" t="s">
        <v>558</v>
      </c>
      <c r="F1215" s="37">
        <v>4</v>
      </c>
    </row>
    <row r="1216" spans="2:6" x14ac:dyDescent="0.35">
      <c r="B1216" s="34" t="str">
        <f t="shared" si="5"/>
        <v>8638270106013016</v>
      </c>
      <c r="C1216" s="19" t="s">
        <v>896</v>
      </c>
      <c r="D1216" s="7" t="s">
        <v>382</v>
      </c>
      <c r="E1216" s="7" t="s">
        <v>595</v>
      </c>
      <c r="F1216" s="37">
        <v>2</v>
      </c>
    </row>
    <row r="1217" spans="2:6" x14ac:dyDescent="0.35">
      <c r="B1217" s="34" t="str">
        <f t="shared" si="5"/>
        <v>8638270106013016</v>
      </c>
      <c r="C1217" s="19" t="s">
        <v>896</v>
      </c>
      <c r="D1217" s="7" t="s">
        <v>480</v>
      </c>
      <c r="E1217" s="7" t="s">
        <v>561</v>
      </c>
      <c r="F1217" s="37">
        <v>0.01</v>
      </c>
    </row>
    <row r="1218" spans="2:6" x14ac:dyDescent="0.35">
      <c r="B1218" s="34" t="str">
        <f t="shared" si="5"/>
        <v>8638270106013016</v>
      </c>
      <c r="C1218" s="19" t="s">
        <v>896</v>
      </c>
      <c r="D1218" s="7" t="s">
        <v>482</v>
      </c>
      <c r="E1218" s="7" t="s">
        <v>562</v>
      </c>
      <c r="F1218" s="37">
        <v>2E-3</v>
      </c>
    </row>
    <row r="1219" spans="2:6" x14ac:dyDescent="0.35">
      <c r="B1219" s="34" t="str">
        <f t="shared" si="5"/>
        <v>8638270106013016</v>
      </c>
      <c r="C1219" s="19" t="s">
        <v>896</v>
      </c>
      <c r="D1219" s="7" t="s">
        <v>484</v>
      </c>
      <c r="E1219" s="7" t="s">
        <v>563</v>
      </c>
      <c r="F1219" s="37">
        <v>4</v>
      </c>
    </row>
    <row r="1220" spans="2:6" x14ac:dyDescent="0.35">
      <c r="B1220" s="34" t="str">
        <f>"8638270106015816"</f>
        <v>8638270106015816</v>
      </c>
      <c r="C1220" s="19" t="s">
        <v>897</v>
      </c>
      <c r="D1220" s="6" t="s">
        <v>44</v>
      </c>
      <c r="E1220" s="7" t="s">
        <v>811</v>
      </c>
      <c r="F1220" s="37">
        <v>1</v>
      </c>
    </row>
    <row r="1221" spans="2:6" x14ac:dyDescent="0.35">
      <c r="B1221" s="34" t="str">
        <f t="shared" ref="B1221:B1247" si="6">"8638270106015816"</f>
        <v>8638270106015816</v>
      </c>
      <c r="C1221" s="19" t="s">
        <v>897</v>
      </c>
      <c r="D1221" s="7" t="s">
        <v>136</v>
      </c>
      <c r="E1221" s="7" t="s">
        <v>582</v>
      </c>
      <c r="F1221" s="37">
        <v>1</v>
      </c>
    </row>
    <row r="1222" spans="2:6" x14ac:dyDescent="0.35">
      <c r="B1222" s="34" t="str">
        <f t="shared" si="6"/>
        <v>8638270106015816</v>
      </c>
      <c r="C1222" s="19" t="s">
        <v>897</v>
      </c>
      <c r="D1222" s="7" t="s">
        <v>140</v>
      </c>
      <c r="E1222" s="7" t="s">
        <v>609</v>
      </c>
      <c r="F1222" s="37">
        <v>1</v>
      </c>
    </row>
    <row r="1223" spans="2:6" x14ac:dyDescent="0.35">
      <c r="B1223" s="34" t="str">
        <f t="shared" si="6"/>
        <v>8638270106015816</v>
      </c>
      <c r="C1223" s="19" t="s">
        <v>897</v>
      </c>
      <c r="D1223" s="6" t="s">
        <v>168</v>
      </c>
      <c r="E1223" s="7" t="s">
        <v>583</v>
      </c>
      <c r="F1223" s="37">
        <v>1</v>
      </c>
    </row>
    <row r="1224" spans="2:6" x14ac:dyDescent="0.35">
      <c r="B1224" s="34" t="str">
        <f t="shared" si="6"/>
        <v>8638270106015816</v>
      </c>
      <c r="C1224" s="19" t="s">
        <v>897</v>
      </c>
      <c r="D1224" s="6" t="s">
        <v>170</v>
      </c>
      <c r="E1224" s="7" t="s">
        <v>584</v>
      </c>
      <c r="F1224" s="37">
        <v>1</v>
      </c>
    </row>
    <row r="1225" spans="2:6" x14ac:dyDescent="0.35">
      <c r="B1225" s="34" t="str">
        <f t="shared" si="6"/>
        <v>8638270106015816</v>
      </c>
      <c r="C1225" s="19" t="s">
        <v>897</v>
      </c>
      <c r="D1225" s="6" t="s">
        <v>180</v>
      </c>
      <c r="E1225" s="7" t="s">
        <v>610</v>
      </c>
      <c r="F1225" s="37">
        <v>1</v>
      </c>
    </row>
    <row r="1226" spans="2:6" x14ac:dyDescent="0.35">
      <c r="B1226" s="34" t="str">
        <f t="shared" si="6"/>
        <v>8638270106015816</v>
      </c>
      <c r="C1226" s="19" t="s">
        <v>897</v>
      </c>
      <c r="D1226" s="6" t="s">
        <v>182</v>
      </c>
      <c r="E1226" s="7" t="s">
        <v>611</v>
      </c>
      <c r="F1226" s="37">
        <v>1</v>
      </c>
    </row>
    <row r="1227" spans="2:6" x14ac:dyDescent="0.35">
      <c r="B1227" s="34" t="str">
        <f t="shared" si="6"/>
        <v>8638270106015816</v>
      </c>
      <c r="C1227" s="19" t="s">
        <v>897</v>
      </c>
      <c r="D1227" s="7" t="s">
        <v>228</v>
      </c>
      <c r="E1227" s="7" t="s">
        <v>612</v>
      </c>
      <c r="F1227" s="37">
        <v>1</v>
      </c>
    </row>
    <row r="1228" spans="2:6" x14ac:dyDescent="0.35">
      <c r="B1228" s="34" t="str">
        <f t="shared" si="6"/>
        <v>8638270106015816</v>
      </c>
      <c r="C1228" s="19" t="s">
        <v>897</v>
      </c>
      <c r="D1228" s="7" t="s">
        <v>230</v>
      </c>
      <c r="E1228" s="7" t="s">
        <v>613</v>
      </c>
      <c r="F1228" s="37">
        <v>1</v>
      </c>
    </row>
    <row r="1229" spans="2:6" x14ac:dyDescent="0.35">
      <c r="B1229" s="34" t="str">
        <f t="shared" si="6"/>
        <v>8638270106015816</v>
      </c>
      <c r="C1229" s="19" t="s">
        <v>897</v>
      </c>
      <c r="D1229" s="7" t="s">
        <v>260</v>
      </c>
      <c r="E1229" s="7" t="s">
        <v>597</v>
      </c>
      <c r="F1229" s="37">
        <v>1</v>
      </c>
    </row>
    <row r="1230" spans="2:6" x14ac:dyDescent="0.35">
      <c r="B1230" s="34" t="str">
        <f t="shared" si="6"/>
        <v>8638270106015816</v>
      </c>
      <c r="C1230" s="19" t="s">
        <v>897</v>
      </c>
      <c r="D1230" s="7" t="s">
        <v>274</v>
      </c>
      <c r="E1230" s="7" t="s">
        <v>586</v>
      </c>
      <c r="F1230" s="37">
        <v>1</v>
      </c>
    </row>
    <row r="1231" spans="2:6" x14ac:dyDescent="0.35">
      <c r="B1231" s="34" t="str">
        <f t="shared" si="6"/>
        <v>8638270106015816</v>
      </c>
      <c r="C1231" s="19" t="s">
        <v>897</v>
      </c>
      <c r="D1231" s="7" t="s">
        <v>284</v>
      </c>
      <c r="E1231" s="7" t="s">
        <v>587</v>
      </c>
      <c r="F1231" s="37">
        <v>2</v>
      </c>
    </row>
    <row r="1232" spans="2:6" x14ac:dyDescent="0.35">
      <c r="B1232" s="34" t="str">
        <f t="shared" si="6"/>
        <v>8638270106015816</v>
      </c>
      <c r="C1232" s="19" t="s">
        <v>897</v>
      </c>
      <c r="D1232" s="7" t="s">
        <v>294</v>
      </c>
      <c r="E1232" s="7" t="s">
        <v>588</v>
      </c>
      <c r="F1232" s="37">
        <v>2</v>
      </c>
    </row>
    <row r="1233" spans="2:6" x14ac:dyDescent="0.35">
      <c r="B1233" s="34" t="str">
        <f t="shared" si="6"/>
        <v>8638270106015816</v>
      </c>
      <c r="C1233" s="19" t="s">
        <v>897</v>
      </c>
      <c r="D1233" s="7" t="s">
        <v>304</v>
      </c>
      <c r="E1233" s="7" t="s">
        <v>589</v>
      </c>
      <c r="F1233" s="37">
        <v>1</v>
      </c>
    </row>
    <row r="1234" spans="2:6" x14ac:dyDescent="0.35">
      <c r="B1234" s="34" t="str">
        <f t="shared" si="6"/>
        <v>8638270106015816</v>
      </c>
      <c r="C1234" s="19" t="s">
        <v>897</v>
      </c>
      <c r="D1234" s="7" t="s">
        <v>308</v>
      </c>
      <c r="E1234" s="7" t="s">
        <v>614</v>
      </c>
      <c r="F1234" s="37">
        <v>2</v>
      </c>
    </row>
    <row r="1235" spans="2:6" x14ac:dyDescent="0.35">
      <c r="B1235" s="34" t="str">
        <f t="shared" si="6"/>
        <v>8638270106015816</v>
      </c>
      <c r="C1235" s="19" t="s">
        <v>897</v>
      </c>
      <c r="D1235" s="7" t="s">
        <v>332</v>
      </c>
      <c r="E1235" s="7" t="s">
        <v>552</v>
      </c>
      <c r="F1235" s="37">
        <v>4</v>
      </c>
    </row>
    <row r="1236" spans="2:6" x14ac:dyDescent="0.35">
      <c r="B1236" s="34" t="str">
        <f t="shared" si="6"/>
        <v>8638270106015816</v>
      </c>
      <c r="C1236" s="19" t="s">
        <v>897</v>
      </c>
      <c r="D1236" s="7" t="s">
        <v>338</v>
      </c>
      <c r="E1236" s="7" t="s">
        <v>590</v>
      </c>
      <c r="F1236" s="37">
        <v>1</v>
      </c>
    </row>
    <row r="1237" spans="2:6" x14ac:dyDescent="0.35">
      <c r="B1237" s="34" t="str">
        <f t="shared" si="6"/>
        <v>8638270106015816</v>
      </c>
      <c r="C1237" s="19" t="s">
        <v>897</v>
      </c>
      <c r="D1237" s="7" t="s">
        <v>340</v>
      </c>
      <c r="E1237" s="7" t="s">
        <v>606</v>
      </c>
      <c r="F1237" s="37">
        <v>1</v>
      </c>
    </row>
    <row r="1238" spans="2:6" x14ac:dyDescent="0.35">
      <c r="B1238" s="34" t="str">
        <f t="shared" si="6"/>
        <v>8638270106015816</v>
      </c>
      <c r="C1238" s="19" t="s">
        <v>897</v>
      </c>
      <c r="D1238" s="7" t="s">
        <v>348</v>
      </c>
      <c r="E1238" s="7" t="s">
        <v>591</v>
      </c>
      <c r="F1238" s="37">
        <v>2</v>
      </c>
    </row>
    <row r="1239" spans="2:6" x14ac:dyDescent="0.35">
      <c r="B1239" s="34" t="str">
        <f t="shared" si="6"/>
        <v>8638270106015816</v>
      </c>
      <c r="C1239" s="19" t="s">
        <v>897</v>
      </c>
      <c r="D1239" s="7" t="s">
        <v>358</v>
      </c>
      <c r="E1239" s="7" t="s">
        <v>592</v>
      </c>
      <c r="F1239" s="37">
        <v>2</v>
      </c>
    </row>
    <row r="1240" spans="2:6" x14ac:dyDescent="0.35">
      <c r="B1240" s="34" t="str">
        <f t="shared" si="6"/>
        <v>8638270106015816</v>
      </c>
      <c r="C1240" s="19" t="s">
        <v>897</v>
      </c>
      <c r="D1240" s="7" t="s">
        <v>360</v>
      </c>
      <c r="E1240" s="7" t="s">
        <v>593</v>
      </c>
      <c r="F1240" s="37">
        <v>2</v>
      </c>
    </row>
    <row r="1241" spans="2:6" x14ac:dyDescent="0.35">
      <c r="B1241" s="34" t="str">
        <f t="shared" si="6"/>
        <v>8638270106015816</v>
      </c>
      <c r="C1241" s="19" t="s">
        <v>897</v>
      </c>
      <c r="D1241" s="7" t="s">
        <v>364</v>
      </c>
      <c r="E1241" s="7" t="s">
        <v>557</v>
      </c>
      <c r="F1241" s="37">
        <v>4</v>
      </c>
    </row>
    <row r="1242" spans="2:6" x14ac:dyDescent="0.35">
      <c r="B1242" s="34" t="str">
        <f t="shared" si="6"/>
        <v>8638270106015816</v>
      </c>
      <c r="C1242" s="19" t="s">
        <v>897</v>
      </c>
      <c r="D1242" s="7" t="s">
        <v>370</v>
      </c>
      <c r="E1242" s="7" t="s">
        <v>594</v>
      </c>
      <c r="F1242" s="37">
        <v>2</v>
      </c>
    </row>
    <row r="1243" spans="2:6" x14ac:dyDescent="0.35">
      <c r="B1243" s="34" t="str">
        <f t="shared" si="6"/>
        <v>8638270106015816</v>
      </c>
      <c r="C1243" s="19" t="s">
        <v>897</v>
      </c>
      <c r="D1243" s="7" t="s">
        <v>372</v>
      </c>
      <c r="E1243" s="7" t="s">
        <v>558</v>
      </c>
      <c r="F1243" s="37">
        <v>4</v>
      </c>
    </row>
    <row r="1244" spans="2:6" x14ac:dyDescent="0.35">
      <c r="B1244" s="34" t="str">
        <f t="shared" si="6"/>
        <v>8638270106015816</v>
      </c>
      <c r="C1244" s="19" t="s">
        <v>897</v>
      </c>
      <c r="D1244" s="7" t="s">
        <v>382</v>
      </c>
      <c r="E1244" s="7" t="s">
        <v>595</v>
      </c>
      <c r="F1244" s="37">
        <v>2</v>
      </c>
    </row>
    <row r="1245" spans="2:6" x14ac:dyDescent="0.35">
      <c r="B1245" s="34" t="str">
        <f t="shared" si="6"/>
        <v>8638270106015816</v>
      </c>
      <c r="C1245" s="19" t="s">
        <v>897</v>
      </c>
      <c r="D1245" s="7" t="s">
        <v>480</v>
      </c>
      <c r="E1245" s="7" t="s">
        <v>561</v>
      </c>
      <c r="F1245" s="37">
        <v>0.01</v>
      </c>
    </row>
    <row r="1246" spans="2:6" x14ac:dyDescent="0.35">
      <c r="B1246" s="34" t="str">
        <f t="shared" si="6"/>
        <v>8638270106015816</v>
      </c>
      <c r="C1246" s="19" t="s">
        <v>897</v>
      </c>
      <c r="D1246" s="7" t="s">
        <v>482</v>
      </c>
      <c r="E1246" s="7" t="s">
        <v>562</v>
      </c>
      <c r="F1246" s="37">
        <v>2E-3</v>
      </c>
    </row>
    <row r="1247" spans="2:6" x14ac:dyDescent="0.35">
      <c r="B1247" s="34" t="str">
        <f t="shared" si="6"/>
        <v>8638270106015816</v>
      </c>
      <c r="C1247" s="19" t="s">
        <v>897</v>
      </c>
      <c r="D1247" s="7" t="s">
        <v>484</v>
      </c>
      <c r="E1247" s="7" t="s">
        <v>563</v>
      </c>
      <c r="F1247" s="37">
        <v>4</v>
      </c>
    </row>
    <row r="1248" spans="2:6" x14ac:dyDescent="0.35">
      <c r="B1248" s="19" t="str">
        <f>"8638270130015816"</f>
        <v>8638270130015816</v>
      </c>
      <c r="C1248" s="19" t="s">
        <v>898</v>
      </c>
      <c r="D1248" s="6" t="s">
        <v>46</v>
      </c>
      <c r="E1248" s="7" t="s">
        <v>812</v>
      </c>
      <c r="F1248" s="37">
        <v>1</v>
      </c>
    </row>
    <row r="1249" spans="2:6" x14ac:dyDescent="0.35">
      <c r="B1249" s="19" t="str">
        <f t="shared" ref="B1249:B1274" si="7">"8638270130015816"</f>
        <v>8638270130015816</v>
      </c>
      <c r="C1249" s="19" t="s">
        <v>898</v>
      </c>
      <c r="D1249" s="7" t="s">
        <v>138</v>
      </c>
      <c r="E1249" s="7" t="s">
        <v>600</v>
      </c>
      <c r="F1249" s="37">
        <v>1</v>
      </c>
    </row>
    <row r="1250" spans="2:6" x14ac:dyDescent="0.35">
      <c r="B1250" s="19" t="str">
        <f t="shared" si="7"/>
        <v>8638270130015816</v>
      </c>
      <c r="C1250" s="19" t="s">
        <v>898</v>
      </c>
      <c r="D1250" s="7" t="s">
        <v>140</v>
      </c>
      <c r="E1250" s="7" t="s">
        <v>609</v>
      </c>
      <c r="F1250" s="37">
        <v>1</v>
      </c>
    </row>
    <row r="1251" spans="2:6" x14ac:dyDescent="0.35">
      <c r="B1251" s="19" t="str">
        <f t="shared" si="7"/>
        <v>8638270130015816</v>
      </c>
      <c r="C1251" s="19" t="s">
        <v>898</v>
      </c>
      <c r="D1251" s="6" t="s">
        <v>176</v>
      </c>
      <c r="E1251" s="7" t="s">
        <v>601</v>
      </c>
      <c r="F1251" s="37">
        <v>1</v>
      </c>
    </row>
    <row r="1252" spans="2:6" x14ac:dyDescent="0.35">
      <c r="B1252" s="19" t="str">
        <f t="shared" si="7"/>
        <v>8638270130015816</v>
      </c>
      <c r="C1252" s="19" t="s">
        <v>898</v>
      </c>
      <c r="D1252" s="6" t="s">
        <v>178</v>
      </c>
      <c r="E1252" s="7" t="s">
        <v>602</v>
      </c>
      <c r="F1252" s="37">
        <v>1</v>
      </c>
    </row>
    <row r="1253" spans="2:6" x14ac:dyDescent="0.35">
      <c r="B1253" s="19" t="str">
        <f t="shared" si="7"/>
        <v>8638270130015816</v>
      </c>
      <c r="C1253" s="19" t="s">
        <v>898</v>
      </c>
      <c r="D1253" s="6" t="s">
        <v>180</v>
      </c>
      <c r="E1253" s="7" t="s">
        <v>610</v>
      </c>
      <c r="F1253" s="37">
        <v>1</v>
      </c>
    </row>
    <row r="1254" spans="2:6" x14ac:dyDescent="0.35">
      <c r="B1254" s="19" t="str">
        <f t="shared" si="7"/>
        <v>8638270130015816</v>
      </c>
      <c r="C1254" s="19" t="s">
        <v>898</v>
      </c>
      <c r="D1254" s="6" t="s">
        <v>182</v>
      </c>
      <c r="E1254" s="7" t="s">
        <v>611</v>
      </c>
      <c r="F1254" s="37">
        <v>1</v>
      </c>
    </row>
    <row r="1255" spans="2:6" x14ac:dyDescent="0.35">
      <c r="B1255" s="19" t="str">
        <f t="shared" si="7"/>
        <v>8638270130015816</v>
      </c>
      <c r="C1255" s="19" t="s">
        <v>898</v>
      </c>
      <c r="D1255" s="7" t="s">
        <v>224</v>
      </c>
      <c r="E1255" s="7" t="s">
        <v>603</v>
      </c>
      <c r="F1255" s="37">
        <v>1</v>
      </c>
    </row>
    <row r="1256" spans="2:6" x14ac:dyDescent="0.35">
      <c r="B1256" s="19" t="str">
        <f t="shared" si="7"/>
        <v>8638270130015816</v>
      </c>
      <c r="C1256" s="19" t="s">
        <v>898</v>
      </c>
      <c r="D1256" s="7" t="s">
        <v>226</v>
      </c>
      <c r="E1256" s="7" t="s">
        <v>604</v>
      </c>
      <c r="F1256" s="37">
        <v>1</v>
      </c>
    </row>
    <row r="1257" spans="2:6" x14ac:dyDescent="0.35">
      <c r="B1257" s="19" t="str">
        <f t="shared" si="7"/>
        <v>8638270130015816</v>
      </c>
      <c r="C1257" s="19" t="s">
        <v>898</v>
      </c>
      <c r="D1257" s="7" t="s">
        <v>228</v>
      </c>
      <c r="E1257" s="7" t="s">
        <v>612</v>
      </c>
      <c r="F1257" s="37">
        <v>1</v>
      </c>
    </row>
    <row r="1258" spans="2:6" x14ac:dyDescent="0.35">
      <c r="B1258" s="19" t="str">
        <f t="shared" si="7"/>
        <v>8638270130015816</v>
      </c>
      <c r="C1258" s="19" t="s">
        <v>898</v>
      </c>
      <c r="D1258" s="7" t="s">
        <v>230</v>
      </c>
      <c r="E1258" s="7" t="s">
        <v>613</v>
      </c>
      <c r="F1258" s="37">
        <v>1</v>
      </c>
    </row>
    <row r="1259" spans="2:6" x14ac:dyDescent="0.35">
      <c r="B1259" s="19" t="str">
        <f t="shared" si="7"/>
        <v>8638270130015816</v>
      </c>
      <c r="C1259" s="19" t="s">
        <v>898</v>
      </c>
      <c r="D1259" s="7" t="s">
        <v>284</v>
      </c>
      <c r="E1259" s="7" t="s">
        <v>587</v>
      </c>
      <c r="F1259" s="37">
        <v>2</v>
      </c>
    </row>
    <row r="1260" spans="2:6" x14ac:dyDescent="0.35">
      <c r="B1260" s="19" t="str">
        <f t="shared" si="7"/>
        <v>8638270130015816</v>
      </c>
      <c r="C1260" s="19" t="s">
        <v>898</v>
      </c>
      <c r="D1260" s="7" t="s">
        <v>294</v>
      </c>
      <c r="E1260" s="7" t="s">
        <v>588</v>
      </c>
      <c r="F1260" s="37">
        <v>2</v>
      </c>
    </row>
    <row r="1261" spans="2:6" x14ac:dyDescent="0.35">
      <c r="B1261" s="19" t="str">
        <f t="shared" si="7"/>
        <v>8638270130015816</v>
      </c>
      <c r="C1261" s="19" t="s">
        <v>898</v>
      </c>
      <c r="D1261" s="7" t="s">
        <v>306</v>
      </c>
      <c r="E1261" s="7" t="s">
        <v>605</v>
      </c>
      <c r="F1261" s="37">
        <v>2</v>
      </c>
    </row>
    <row r="1262" spans="2:6" x14ac:dyDescent="0.35">
      <c r="B1262" s="19" t="str">
        <f t="shared" si="7"/>
        <v>8638270130015816</v>
      </c>
      <c r="C1262" s="19" t="s">
        <v>898</v>
      </c>
      <c r="D1262" s="7" t="s">
        <v>308</v>
      </c>
      <c r="E1262" s="7" t="s">
        <v>614</v>
      </c>
      <c r="F1262" s="37">
        <v>2</v>
      </c>
    </row>
    <row r="1263" spans="2:6" x14ac:dyDescent="0.35">
      <c r="B1263" s="19" t="str">
        <f t="shared" si="7"/>
        <v>8638270130015816</v>
      </c>
      <c r="C1263" s="19" t="s">
        <v>898</v>
      </c>
      <c r="D1263" s="7" t="s">
        <v>332</v>
      </c>
      <c r="E1263" s="7" t="s">
        <v>552</v>
      </c>
      <c r="F1263" s="37">
        <v>4</v>
      </c>
    </row>
    <row r="1264" spans="2:6" x14ac:dyDescent="0.35">
      <c r="B1264" s="19" t="str">
        <f t="shared" si="7"/>
        <v>8638270130015816</v>
      </c>
      <c r="C1264" s="19" t="s">
        <v>898</v>
      </c>
      <c r="D1264" s="7" t="s">
        <v>340</v>
      </c>
      <c r="E1264" s="7" t="s">
        <v>606</v>
      </c>
      <c r="F1264" s="37">
        <v>2</v>
      </c>
    </row>
    <row r="1265" spans="2:6" x14ac:dyDescent="0.35">
      <c r="B1265" s="19" t="str">
        <f t="shared" si="7"/>
        <v>8638270130015816</v>
      </c>
      <c r="C1265" s="19" t="s">
        <v>898</v>
      </c>
      <c r="D1265" s="7" t="s">
        <v>348</v>
      </c>
      <c r="E1265" s="7" t="s">
        <v>591</v>
      </c>
      <c r="F1265" s="37">
        <v>2</v>
      </c>
    </row>
    <row r="1266" spans="2:6" x14ac:dyDescent="0.35">
      <c r="B1266" s="19" t="str">
        <f t="shared" si="7"/>
        <v>8638270130015816</v>
      </c>
      <c r="C1266" s="19" t="s">
        <v>898</v>
      </c>
      <c r="D1266" s="7" t="s">
        <v>358</v>
      </c>
      <c r="E1266" s="7" t="s">
        <v>592</v>
      </c>
      <c r="F1266" s="37">
        <v>2</v>
      </c>
    </row>
    <row r="1267" spans="2:6" x14ac:dyDescent="0.35">
      <c r="B1267" s="19" t="str">
        <f t="shared" si="7"/>
        <v>8638270130015816</v>
      </c>
      <c r="C1267" s="19" t="s">
        <v>898</v>
      </c>
      <c r="D1267" s="7" t="s">
        <v>360</v>
      </c>
      <c r="E1267" s="7" t="s">
        <v>593</v>
      </c>
      <c r="F1267" s="37">
        <v>2</v>
      </c>
    </row>
    <row r="1268" spans="2:6" x14ac:dyDescent="0.35">
      <c r="B1268" s="19" t="str">
        <f t="shared" si="7"/>
        <v>8638270130015816</v>
      </c>
      <c r="C1268" s="19" t="s">
        <v>898</v>
      </c>
      <c r="D1268" s="7" t="s">
        <v>364</v>
      </c>
      <c r="E1268" s="7" t="s">
        <v>557</v>
      </c>
      <c r="F1268" s="37">
        <v>4</v>
      </c>
    </row>
    <row r="1269" spans="2:6" x14ac:dyDescent="0.35">
      <c r="B1269" s="19" t="str">
        <f t="shared" si="7"/>
        <v>8638270130015816</v>
      </c>
      <c r="C1269" s="19" t="s">
        <v>898</v>
      </c>
      <c r="D1269" s="7" t="s">
        <v>370</v>
      </c>
      <c r="E1269" s="7" t="s">
        <v>594</v>
      </c>
      <c r="F1269" s="37">
        <v>2</v>
      </c>
    </row>
    <row r="1270" spans="2:6" x14ac:dyDescent="0.35">
      <c r="B1270" s="19" t="str">
        <f t="shared" si="7"/>
        <v>8638270130015816</v>
      </c>
      <c r="C1270" s="19" t="s">
        <v>898</v>
      </c>
      <c r="D1270" s="7" t="s">
        <v>372</v>
      </c>
      <c r="E1270" s="7" t="s">
        <v>558</v>
      </c>
      <c r="F1270" s="37">
        <v>4</v>
      </c>
    </row>
    <row r="1271" spans="2:6" x14ac:dyDescent="0.35">
      <c r="B1271" s="19" t="str">
        <f t="shared" si="7"/>
        <v>8638270130015816</v>
      </c>
      <c r="C1271" s="19" t="s">
        <v>898</v>
      </c>
      <c r="D1271" s="7" t="s">
        <v>382</v>
      </c>
      <c r="E1271" s="7" t="s">
        <v>595</v>
      </c>
      <c r="F1271" s="37">
        <v>2</v>
      </c>
    </row>
    <row r="1272" spans="2:6" x14ac:dyDescent="0.35">
      <c r="B1272" s="19" t="str">
        <f t="shared" si="7"/>
        <v>8638270130015816</v>
      </c>
      <c r="C1272" s="19" t="s">
        <v>898</v>
      </c>
      <c r="D1272" s="7" t="s">
        <v>480</v>
      </c>
      <c r="E1272" s="7" t="s">
        <v>561</v>
      </c>
      <c r="F1272" s="37">
        <v>0.01</v>
      </c>
    </row>
    <row r="1273" spans="2:6" x14ac:dyDescent="0.35">
      <c r="B1273" s="19" t="str">
        <f t="shared" si="7"/>
        <v>8638270130015816</v>
      </c>
      <c r="C1273" s="19" t="s">
        <v>898</v>
      </c>
      <c r="D1273" s="7" t="s">
        <v>482</v>
      </c>
      <c r="E1273" s="7" t="s">
        <v>562</v>
      </c>
      <c r="F1273" s="37">
        <v>2E-3</v>
      </c>
    </row>
    <row r="1274" spans="2:6" x14ac:dyDescent="0.35">
      <c r="B1274" s="19" t="str">
        <f t="shared" si="7"/>
        <v>8638270130015816</v>
      </c>
      <c r="C1274" s="19" t="s">
        <v>898</v>
      </c>
      <c r="D1274" s="7" t="s">
        <v>484</v>
      </c>
      <c r="E1274" s="7" t="s">
        <v>563</v>
      </c>
      <c r="F1274" s="37">
        <v>4</v>
      </c>
    </row>
    <row r="1275" spans="2:6" x14ac:dyDescent="0.35">
      <c r="B1275" s="34" t="str">
        <f>"8638270130019816"</f>
        <v>8638270130019816</v>
      </c>
      <c r="C1275" s="19" t="s">
        <v>901</v>
      </c>
      <c r="D1275" s="6" t="s">
        <v>48</v>
      </c>
      <c r="E1275" s="7" t="s">
        <v>813</v>
      </c>
      <c r="F1275" s="37">
        <v>1</v>
      </c>
    </row>
    <row r="1276" spans="2:6" x14ac:dyDescent="0.35">
      <c r="B1276" s="34" t="str">
        <f t="shared" ref="B1276:B1301" si="8">"8638270130019816"</f>
        <v>8638270130019816</v>
      </c>
      <c r="C1276" s="19" t="s">
        <v>901</v>
      </c>
      <c r="D1276" s="7" t="s">
        <v>138</v>
      </c>
      <c r="E1276" s="7" t="s">
        <v>600</v>
      </c>
      <c r="F1276" s="37">
        <v>1</v>
      </c>
    </row>
    <row r="1277" spans="2:6" x14ac:dyDescent="0.35">
      <c r="B1277" s="34" t="str">
        <f t="shared" si="8"/>
        <v>8638270130019816</v>
      </c>
      <c r="C1277" s="19" t="s">
        <v>901</v>
      </c>
      <c r="D1277" s="7" t="s">
        <v>142</v>
      </c>
      <c r="E1277" s="7" t="s">
        <v>617</v>
      </c>
      <c r="F1277" s="37">
        <v>1</v>
      </c>
    </row>
    <row r="1278" spans="2:6" x14ac:dyDescent="0.35">
      <c r="B1278" s="34" t="str">
        <f t="shared" si="8"/>
        <v>8638270130019816</v>
      </c>
      <c r="C1278" s="19" t="s">
        <v>901</v>
      </c>
      <c r="D1278" s="6" t="s">
        <v>176</v>
      </c>
      <c r="E1278" s="7" t="s">
        <v>601</v>
      </c>
      <c r="F1278" s="37">
        <v>1</v>
      </c>
    </row>
    <row r="1279" spans="2:6" x14ac:dyDescent="0.35">
      <c r="B1279" s="34" t="str">
        <f t="shared" si="8"/>
        <v>8638270130019816</v>
      </c>
      <c r="C1279" s="19" t="s">
        <v>901</v>
      </c>
      <c r="D1279" s="6" t="s">
        <v>178</v>
      </c>
      <c r="E1279" s="7" t="s">
        <v>602</v>
      </c>
      <c r="F1279" s="37">
        <v>1</v>
      </c>
    </row>
    <row r="1280" spans="2:6" x14ac:dyDescent="0.35">
      <c r="B1280" s="34" t="str">
        <f t="shared" si="8"/>
        <v>8638270130019816</v>
      </c>
      <c r="C1280" s="19" t="s">
        <v>901</v>
      </c>
      <c r="D1280" s="6" t="s">
        <v>192</v>
      </c>
      <c r="E1280" s="7" t="s">
        <v>618</v>
      </c>
      <c r="F1280" s="37">
        <v>1</v>
      </c>
    </row>
    <row r="1281" spans="2:6" x14ac:dyDescent="0.35">
      <c r="B1281" s="34" t="str">
        <f t="shared" si="8"/>
        <v>8638270130019816</v>
      </c>
      <c r="C1281" s="19" t="s">
        <v>901</v>
      </c>
      <c r="D1281" s="6" t="s">
        <v>194</v>
      </c>
      <c r="E1281" s="7" t="s">
        <v>619</v>
      </c>
      <c r="F1281" s="37">
        <v>1</v>
      </c>
    </row>
    <row r="1282" spans="2:6" x14ac:dyDescent="0.35">
      <c r="B1282" s="34" t="str">
        <f t="shared" si="8"/>
        <v>8638270130019816</v>
      </c>
      <c r="C1282" s="19" t="s">
        <v>901</v>
      </c>
      <c r="D1282" s="7" t="s">
        <v>224</v>
      </c>
      <c r="E1282" s="7" t="s">
        <v>603</v>
      </c>
      <c r="F1282" s="37">
        <v>1</v>
      </c>
    </row>
    <row r="1283" spans="2:6" x14ac:dyDescent="0.35">
      <c r="B1283" s="34" t="str">
        <f t="shared" si="8"/>
        <v>8638270130019816</v>
      </c>
      <c r="C1283" s="19" t="s">
        <v>901</v>
      </c>
      <c r="D1283" s="7" t="s">
        <v>226</v>
      </c>
      <c r="E1283" s="7" t="s">
        <v>604</v>
      </c>
      <c r="F1283" s="37">
        <v>1</v>
      </c>
    </row>
    <row r="1284" spans="2:6" x14ac:dyDescent="0.35">
      <c r="B1284" s="34" t="str">
        <f t="shared" si="8"/>
        <v>8638270130019816</v>
      </c>
      <c r="C1284" s="19" t="s">
        <v>901</v>
      </c>
      <c r="D1284" s="7" t="s">
        <v>236</v>
      </c>
      <c r="E1284" s="7" t="s">
        <v>620</v>
      </c>
      <c r="F1284" s="37">
        <v>1</v>
      </c>
    </row>
    <row r="1285" spans="2:6" x14ac:dyDescent="0.35">
      <c r="B1285" s="34" t="str">
        <f t="shared" si="8"/>
        <v>8638270130019816</v>
      </c>
      <c r="C1285" s="19" t="s">
        <v>901</v>
      </c>
      <c r="D1285" s="7" t="s">
        <v>238</v>
      </c>
      <c r="E1285" s="7" t="s">
        <v>621</v>
      </c>
      <c r="F1285" s="37">
        <v>1</v>
      </c>
    </row>
    <row r="1286" spans="2:6" x14ac:dyDescent="0.35">
      <c r="B1286" s="34" t="str">
        <f t="shared" si="8"/>
        <v>8638270130019816</v>
      </c>
      <c r="C1286" s="19" t="s">
        <v>901</v>
      </c>
      <c r="D1286" s="7" t="s">
        <v>284</v>
      </c>
      <c r="E1286" s="7" t="s">
        <v>587</v>
      </c>
      <c r="F1286" s="37">
        <v>2</v>
      </c>
    </row>
    <row r="1287" spans="2:6" x14ac:dyDescent="0.35">
      <c r="B1287" s="34" t="str">
        <f t="shared" si="8"/>
        <v>8638270130019816</v>
      </c>
      <c r="C1287" s="19" t="s">
        <v>901</v>
      </c>
      <c r="D1287" s="7" t="s">
        <v>294</v>
      </c>
      <c r="E1287" s="7" t="s">
        <v>588</v>
      </c>
      <c r="F1287" s="37">
        <v>2</v>
      </c>
    </row>
    <row r="1288" spans="2:6" x14ac:dyDescent="0.35">
      <c r="B1288" s="34" t="str">
        <f t="shared" si="8"/>
        <v>8638270130019816</v>
      </c>
      <c r="C1288" s="19" t="s">
        <v>901</v>
      </c>
      <c r="D1288" s="7" t="s">
        <v>306</v>
      </c>
      <c r="E1288" s="7" t="s">
        <v>605</v>
      </c>
      <c r="F1288" s="37">
        <v>2</v>
      </c>
    </row>
    <row r="1289" spans="2:6" x14ac:dyDescent="0.35">
      <c r="B1289" s="34" t="str">
        <f t="shared" si="8"/>
        <v>8638270130019816</v>
      </c>
      <c r="C1289" s="19" t="s">
        <v>901</v>
      </c>
      <c r="D1289" s="7" t="s">
        <v>310</v>
      </c>
      <c r="E1289" s="7" t="s">
        <v>622</v>
      </c>
      <c r="F1289" s="37">
        <v>2</v>
      </c>
    </row>
    <row r="1290" spans="2:6" x14ac:dyDescent="0.35">
      <c r="B1290" s="34" t="str">
        <f t="shared" si="8"/>
        <v>8638270130019816</v>
      </c>
      <c r="C1290" s="19" t="s">
        <v>901</v>
      </c>
      <c r="D1290" s="7" t="s">
        <v>332</v>
      </c>
      <c r="E1290" s="7" t="s">
        <v>552</v>
      </c>
      <c r="F1290" s="37">
        <v>4</v>
      </c>
    </row>
    <row r="1291" spans="2:6" x14ac:dyDescent="0.35">
      <c r="B1291" s="34" t="str">
        <f t="shared" si="8"/>
        <v>8638270130019816</v>
      </c>
      <c r="C1291" s="19" t="s">
        <v>901</v>
      </c>
      <c r="D1291" s="7" t="s">
        <v>340</v>
      </c>
      <c r="E1291" s="7" t="s">
        <v>606</v>
      </c>
      <c r="F1291" s="37">
        <v>2</v>
      </c>
    </row>
    <row r="1292" spans="2:6" x14ac:dyDescent="0.35">
      <c r="B1292" s="34" t="str">
        <f t="shared" si="8"/>
        <v>8638270130019816</v>
      </c>
      <c r="C1292" s="19" t="s">
        <v>901</v>
      </c>
      <c r="D1292" s="7" t="s">
        <v>348</v>
      </c>
      <c r="E1292" s="7" t="s">
        <v>591</v>
      </c>
      <c r="F1292" s="37">
        <v>2</v>
      </c>
    </row>
    <row r="1293" spans="2:6" x14ac:dyDescent="0.35">
      <c r="B1293" s="34" t="str">
        <f t="shared" si="8"/>
        <v>8638270130019816</v>
      </c>
      <c r="C1293" s="19" t="s">
        <v>901</v>
      </c>
      <c r="D1293" s="7" t="s">
        <v>358</v>
      </c>
      <c r="E1293" s="7" t="s">
        <v>592</v>
      </c>
      <c r="F1293" s="37">
        <v>2</v>
      </c>
    </row>
    <row r="1294" spans="2:6" x14ac:dyDescent="0.35">
      <c r="B1294" s="34" t="str">
        <f t="shared" si="8"/>
        <v>8638270130019816</v>
      </c>
      <c r="C1294" s="19" t="s">
        <v>901</v>
      </c>
      <c r="D1294" s="7" t="s">
        <v>360</v>
      </c>
      <c r="E1294" s="7" t="s">
        <v>593</v>
      </c>
      <c r="F1294" s="37">
        <v>2</v>
      </c>
    </row>
    <row r="1295" spans="2:6" x14ac:dyDescent="0.35">
      <c r="B1295" s="34" t="str">
        <f t="shared" si="8"/>
        <v>8638270130019816</v>
      </c>
      <c r="C1295" s="19" t="s">
        <v>901</v>
      </c>
      <c r="D1295" s="7" t="s">
        <v>364</v>
      </c>
      <c r="E1295" s="7" t="s">
        <v>557</v>
      </c>
      <c r="F1295" s="37">
        <v>4</v>
      </c>
    </row>
    <row r="1296" spans="2:6" x14ac:dyDescent="0.35">
      <c r="B1296" s="34" t="str">
        <f t="shared" si="8"/>
        <v>8638270130019816</v>
      </c>
      <c r="C1296" s="19" t="s">
        <v>901</v>
      </c>
      <c r="D1296" s="7" t="s">
        <v>370</v>
      </c>
      <c r="E1296" s="7" t="s">
        <v>594</v>
      </c>
      <c r="F1296" s="37">
        <v>2</v>
      </c>
    </row>
    <row r="1297" spans="2:6" x14ac:dyDescent="0.35">
      <c r="B1297" s="34" t="str">
        <f t="shared" si="8"/>
        <v>8638270130019816</v>
      </c>
      <c r="C1297" s="19" t="s">
        <v>901</v>
      </c>
      <c r="D1297" s="7" t="s">
        <v>372</v>
      </c>
      <c r="E1297" s="7" t="s">
        <v>558</v>
      </c>
      <c r="F1297" s="37">
        <v>4</v>
      </c>
    </row>
    <row r="1298" spans="2:6" x14ac:dyDescent="0.35">
      <c r="B1298" s="34" t="str">
        <f t="shared" si="8"/>
        <v>8638270130019816</v>
      </c>
      <c r="C1298" s="19" t="s">
        <v>901</v>
      </c>
      <c r="D1298" s="7" t="s">
        <v>382</v>
      </c>
      <c r="E1298" s="7" t="s">
        <v>595</v>
      </c>
      <c r="F1298" s="37">
        <v>2</v>
      </c>
    </row>
    <row r="1299" spans="2:6" x14ac:dyDescent="0.35">
      <c r="B1299" s="34" t="str">
        <f t="shared" si="8"/>
        <v>8638270130019816</v>
      </c>
      <c r="C1299" s="19" t="s">
        <v>901</v>
      </c>
      <c r="D1299" s="7" t="s">
        <v>480</v>
      </c>
      <c r="E1299" s="7" t="s">
        <v>561</v>
      </c>
      <c r="F1299" s="37">
        <v>0.01</v>
      </c>
    </row>
    <row r="1300" spans="2:6" x14ac:dyDescent="0.35">
      <c r="B1300" s="34" t="str">
        <f t="shared" si="8"/>
        <v>8638270130019816</v>
      </c>
      <c r="C1300" s="19" t="s">
        <v>901</v>
      </c>
      <c r="D1300" s="7" t="s">
        <v>482</v>
      </c>
      <c r="E1300" s="7" t="s">
        <v>562</v>
      </c>
      <c r="F1300" s="37">
        <v>2E-3</v>
      </c>
    </row>
    <row r="1301" spans="2:6" x14ac:dyDescent="0.35">
      <c r="B1301" s="34" t="str">
        <f t="shared" si="8"/>
        <v>8638270130019816</v>
      </c>
      <c r="C1301" s="19" t="s">
        <v>901</v>
      </c>
      <c r="D1301" s="7" t="s">
        <v>484</v>
      </c>
      <c r="E1301" s="7" t="s">
        <v>563</v>
      </c>
      <c r="F1301" s="37">
        <v>4</v>
      </c>
    </row>
    <row r="1302" spans="2:6" x14ac:dyDescent="0.35">
      <c r="B1302" s="34" t="str">
        <f>"8638270158019816"</f>
        <v>8638270158019816</v>
      </c>
      <c r="C1302" s="19" t="s">
        <v>903</v>
      </c>
      <c r="D1302" s="6" t="s">
        <v>50</v>
      </c>
      <c r="E1302" s="7" t="s">
        <v>814</v>
      </c>
      <c r="F1302" s="37">
        <v>1</v>
      </c>
    </row>
    <row r="1303" spans="2:6" x14ac:dyDescent="0.35">
      <c r="B1303" s="34" t="str">
        <f t="shared" ref="B1303:B1328" si="9">"8638270158019816"</f>
        <v>8638270158019816</v>
      </c>
      <c r="C1303" s="19" t="s">
        <v>903</v>
      </c>
      <c r="D1303" s="7" t="s">
        <v>140</v>
      </c>
      <c r="E1303" s="7" t="s">
        <v>609</v>
      </c>
      <c r="F1303" s="37">
        <v>1</v>
      </c>
    </row>
    <row r="1304" spans="2:6" x14ac:dyDescent="0.35">
      <c r="B1304" s="34" t="str">
        <f t="shared" si="9"/>
        <v>8638270158019816</v>
      </c>
      <c r="C1304" s="19" t="s">
        <v>903</v>
      </c>
      <c r="D1304" s="7" t="s">
        <v>142</v>
      </c>
      <c r="E1304" s="7" t="s">
        <v>617</v>
      </c>
      <c r="F1304" s="37">
        <v>1</v>
      </c>
    </row>
    <row r="1305" spans="2:6" x14ac:dyDescent="0.35">
      <c r="B1305" s="34" t="str">
        <f t="shared" si="9"/>
        <v>8638270158019816</v>
      </c>
      <c r="C1305" s="19" t="s">
        <v>903</v>
      </c>
      <c r="D1305" s="6" t="s">
        <v>180</v>
      </c>
      <c r="E1305" s="7" t="s">
        <v>610</v>
      </c>
      <c r="F1305" s="37">
        <v>1</v>
      </c>
    </row>
    <row r="1306" spans="2:6" x14ac:dyDescent="0.35">
      <c r="B1306" s="34" t="str">
        <f t="shared" si="9"/>
        <v>8638270158019816</v>
      </c>
      <c r="C1306" s="19" t="s">
        <v>903</v>
      </c>
      <c r="D1306" s="6" t="s">
        <v>182</v>
      </c>
      <c r="E1306" s="7" t="s">
        <v>611</v>
      </c>
      <c r="F1306" s="37">
        <v>1</v>
      </c>
    </row>
    <row r="1307" spans="2:6" x14ac:dyDescent="0.35">
      <c r="B1307" s="34" t="str">
        <f t="shared" si="9"/>
        <v>8638270158019816</v>
      </c>
      <c r="C1307" s="19" t="s">
        <v>903</v>
      </c>
      <c r="D1307" s="6" t="s">
        <v>192</v>
      </c>
      <c r="E1307" s="7" t="s">
        <v>618</v>
      </c>
      <c r="F1307" s="37">
        <v>1</v>
      </c>
    </row>
    <row r="1308" spans="2:6" x14ac:dyDescent="0.35">
      <c r="B1308" s="34" t="str">
        <f t="shared" si="9"/>
        <v>8638270158019816</v>
      </c>
      <c r="C1308" s="19" t="s">
        <v>903</v>
      </c>
      <c r="D1308" s="6" t="s">
        <v>194</v>
      </c>
      <c r="E1308" s="7" t="s">
        <v>619</v>
      </c>
      <c r="F1308" s="37">
        <v>1</v>
      </c>
    </row>
    <row r="1309" spans="2:6" x14ac:dyDescent="0.35">
      <c r="B1309" s="34" t="str">
        <f t="shared" si="9"/>
        <v>8638270158019816</v>
      </c>
      <c r="C1309" s="19" t="s">
        <v>903</v>
      </c>
      <c r="D1309" s="7" t="s">
        <v>228</v>
      </c>
      <c r="E1309" s="7" t="s">
        <v>612</v>
      </c>
      <c r="F1309" s="37">
        <v>1</v>
      </c>
    </row>
    <row r="1310" spans="2:6" x14ac:dyDescent="0.35">
      <c r="B1310" s="34" t="str">
        <f t="shared" si="9"/>
        <v>8638270158019816</v>
      </c>
      <c r="C1310" s="19" t="s">
        <v>903</v>
      </c>
      <c r="D1310" s="7" t="s">
        <v>230</v>
      </c>
      <c r="E1310" s="7" t="s">
        <v>613</v>
      </c>
      <c r="F1310" s="37">
        <v>1</v>
      </c>
    </row>
    <row r="1311" spans="2:6" x14ac:dyDescent="0.35">
      <c r="B1311" s="34" t="str">
        <f t="shared" si="9"/>
        <v>8638270158019816</v>
      </c>
      <c r="C1311" s="19" t="s">
        <v>903</v>
      </c>
      <c r="D1311" s="7" t="s">
        <v>236</v>
      </c>
      <c r="E1311" s="7" t="s">
        <v>620</v>
      </c>
      <c r="F1311" s="37">
        <v>1</v>
      </c>
    </row>
    <row r="1312" spans="2:6" x14ac:dyDescent="0.35">
      <c r="B1312" s="34" t="str">
        <f t="shared" si="9"/>
        <v>8638270158019816</v>
      </c>
      <c r="C1312" s="19" t="s">
        <v>903</v>
      </c>
      <c r="D1312" s="7" t="s">
        <v>238</v>
      </c>
      <c r="E1312" s="7" t="s">
        <v>621</v>
      </c>
      <c r="F1312" s="37">
        <v>1</v>
      </c>
    </row>
    <row r="1313" spans="2:6" x14ac:dyDescent="0.35">
      <c r="B1313" s="34" t="str">
        <f t="shared" si="9"/>
        <v>8638270158019816</v>
      </c>
      <c r="C1313" s="19" t="s">
        <v>903</v>
      </c>
      <c r="D1313" s="7" t="s">
        <v>284</v>
      </c>
      <c r="E1313" s="7" t="s">
        <v>587</v>
      </c>
      <c r="F1313" s="37">
        <v>2</v>
      </c>
    </row>
    <row r="1314" spans="2:6" x14ac:dyDescent="0.35">
      <c r="B1314" s="34" t="str">
        <f t="shared" si="9"/>
        <v>8638270158019816</v>
      </c>
      <c r="C1314" s="19" t="s">
        <v>903</v>
      </c>
      <c r="D1314" s="7" t="s">
        <v>294</v>
      </c>
      <c r="E1314" s="7" t="s">
        <v>588</v>
      </c>
      <c r="F1314" s="37">
        <v>2</v>
      </c>
    </row>
    <row r="1315" spans="2:6" x14ac:dyDescent="0.35">
      <c r="B1315" s="34" t="str">
        <f t="shared" si="9"/>
        <v>8638270158019816</v>
      </c>
      <c r="C1315" s="19" t="s">
        <v>903</v>
      </c>
      <c r="D1315" s="7" t="s">
        <v>308</v>
      </c>
      <c r="E1315" s="7" t="s">
        <v>614</v>
      </c>
      <c r="F1315" s="37">
        <v>2</v>
      </c>
    </row>
    <row r="1316" spans="2:6" x14ac:dyDescent="0.35">
      <c r="B1316" s="34" t="str">
        <f t="shared" si="9"/>
        <v>8638270158019816</v>
      </c>
      <c r="C1316" s="19" t="s">
        <v>903</v>
      </c>
      <c r="D1316" s="7" t="s">
        <v>310</v>
      </c>
      <c r="E1316" s="7" t="s">
        <v>622</v>
      </c>
      <c r="F1316" s="37">
        <v>2</v>
      </c>
    </row>
    <row r="1317" spans="2:6" x14ac:dyDescent="0.35">
      <c r="B1317" s="34" t="str">
        <f t="shared" si="9"/>
        <v>8638270158019816</v>
      </c>
      <c r="C1317" s="19" t="s">
        <v>903</v>
      </c>
      <c r="D1317" s="7" t="s">
        <v>332</v>
      </c>
      <c r="E1317" s="7" t="s">
        <v>552</v>
      </c>
      <c r="F1317" s="37">
        <v>4</v>
      </c>
    </row>
    <row r="1318" spans="2:6" x14ac:dyDescent="0.35">
      <c r="B1318" s="34" t="str">
        <f t="shared" si="9"/>
        <v>8638270158019816</v>
      </c>
      <c r="C1318" s="19" t="s">
        <v>903</v>
      </c>
      <c r="D1318" s="7" t="s">
        <v>340</v>
      </c>
      <c r="E1318" s="7" t="s">
        <v>606</v>
      </c>
      <c r="F1318" s="37">
        <v>2</v>
      </c>
    </row>
    <row r="1319" spans="2:6" x14ac:dyDescent="0.35">
      <c r="B1319" s="34" t="str">
        <f t="shared" si="9"/>
        <v>8638270158019816</v>
      </c>
      <c r="C1319" s="19" t="s">
        <v>903</v>
      </c>
      <c r="D1319" s="7" t="s">
        <v>348</v>
      </c>
      <c r="E1319" s="7" t="s">
        <v>591</v>
      </c>
      <c r="F1319" s="37">
        <v>2</v>
      </c>
    </row>
    <row r="1320" spans="2:6" x14ac:dyDescent="0.35">
      <c r="B1320" s="34" t="str">
        <f t="shared" si="9"/>
        <v>8638270158019816</v>
      </c>
      <c r="C1320" s="19" t="s">
        <v>903</v>
      </c>
      <c r="D1320" s="7" t="s">
        <v>358</v>
      </c>
      <c r="E1320" s="7" t="s">
        <v>592</v>
      </c>
      <c r="F1320" s="37">
        <v>2</v>
      </c>
    </row>
    <row r="1321" spans="2:6" x14ac:dyDescent="0.35">
      <c r="B1321" s="34" t="str">
        <f t="shared" si="9"/>
        <v>8638270158019816</v>
      </c>
      <c r="C1321" s="19" t="s">
        <v>903</v>
      </c>
      <c r="D1321" s="7" t="s">
        <v>360</v>
      </c>
      <c r="E1321" s="7" t="s">
        <v>593</v>
      </c>
      <c r="F1321" s="37">
        <v>2</v>
      </c>
    </row>
    <row r="1322" spans="2:6" x14ac:dyDescent="0.35">
      <c r="B1322" s="34" t="str">
        <f t="shared" si="9"/>
        <v>8638270158019816</v>
      </c>
      <c r="C1322" s="19" t="s">
        <v>903</v>
      </c>
      <c r="D1322" s="7" t="s">
        <v>364</v>
      </c>
      <c r="E1322" s="7" t="s">
        <v>557</v>
      </c>
      <c r="F1322" s="37">
        <v>4</v>
      </c>
    </row>
    <row r="1323" spans="2:6" x14ac:dyDescent="0.35">
      <c r="B1323" s="34" t="str">
        <f t="shared" si="9"/>
        <v>8638270158019816</v>
      </c>
      <c r="C1323" s="19" t="s">
        <v>903</v>
      </c>
      <c r="D1323" s="7" t="s">
        <v>370</v>
      </c>
      <c r="E1323" s="7" t="s">
        <v>594</v>
      </c>
      <c r="F1323" s="37">
        <v>2</v>
      </c>
    </row>
    <row r="1324" spans="2:6" x14ac:dyDescent="0.35">
      <c r="B1324" s="34" t="str">
        <f t="shared" si="9"/>
        <v>8638270158019816</v>
      </c>
      <c r="C1324" s="19" t="s">
        <v>903</v>
      </c>
      <c r="D1324" s="7" t="s">
        <v>372</v>
      </c>
      <c r="E1324" s="7" t="s">
        <v>558</v>
      </c>
      <c r="F1324" s="37">
        <v>4</v>
      </c>
    </row>
    <row r="1325" spans="2:6" x14ac:dyDescent="0.35">
      <c r="B1325" s="34" t="str">
        <f t="shared" si="9"/>
        <v>8638270158019816</v>
      </c>
      <c r="C1325" s="19" t="s">
        <v>903</v>
      </c>
      <c r="D1325" s="7" t="s">
        <v>382</v>
      </c>
      <c r="E1325" s="7" t="s">
        <v>595</v>
      </c>
      <c r="F1325" s="37">
        <v>2</v>
      </c>
    </row>
    <row r="1326" spans="2:6" x14ac:dyDescent="0.35">
      <c r="B1326" s="34" t="str">
        <f t="shared" si="9"/>
        <v>8638270158019816</v>
      </c>
      <c r="C1326" s="19" t="s">
        <v>903</v>
      </c>
      <c r="D1326" s="7" t="s">
        <v>480</v>
      </c>
      <c r="E1326" s="7" t="s">
        <v>561</v>
      </c>
      <c r="F1326" s="37">
        <v>0.01</v>
      </c>
    </row>
    <row r="1327" spans="2:6" x14ac:dyDescent="0.35">
      <c r="B1327" s="34" t="str">
        <f t="shared" si="9"/>
        <v>8638270158019816</v>
      </c>
      <c r="C1327" s="19" t="s">
        <v>903</v>
      </c>
      <c r="D1327" s="7" t="s">
        <v>482</v>
      </c>
      <c r="E1327" s="7" t="s">
        <v>562</v>
      </c>
      <c r="F1327" s="37">
        <v>2E-3</v>
      </c>
    </row>
    <row r="1328" spans="2:6" x14ac:dyDescent="0.35">
      <c r="B1328" s="34" t="str">
        <f t="shared" si="9"/>
        <v>8638270158019816</v>
      </c>
      <c r="C1328" s="19" t="s">
        <v>903</v>
      </c>
      <c r="D1328" s="7" t="s">
        <v>484</v>
      </c>
      <c r="E1328" s="7" t="s">
        <v>563</v>
      </c>
      <c r="F1328" s="37">
        <v>4</v>
      </c>
    </row>
    <row r="1329" spans="2:6" x14ac:dyDescent="0.35">
      <c r="B1329" s="34" t="str">
        <f>"8638270158021416"</f>
        <v>8638270158021416</v>
      </c>
      <c r="C1329" s="19" t="s">
        <v>905</v>
      </c>
      <c r="D1329" s="7" t="s">
        <v>9</v>
      </c>
      <c r="E1329" s="7" t="s">
        <v>624</v>
      </c>
      <c r="F1329" s="37">
        <v>2</v>
      </c>
    </row>
    <row r="1330" spans="2:6" x14ac:dyDescent="0.35">
      <c r="B1330" s="34" t="str">
        <f t="shared" ref="B1330:B1363" si="10">"8638270158021416"</f>
        <v>8638270158021416</v>
      </c>
      <c r="C1330" s="19" t="s">
        <v>905</v>
      </c>
      <c r="D1330" s="6" t="s">
        <v>52</v>
      </c>
      <c r="E1330" s="7" t="s">
        <v>815</v>
      </c>
      <c r="F1330" s="37">
        <v>1</v>
      </c>
    </row>
    <row r="1331" spans="2:6" x14ac:dyDescent="0.35">
      <c r="B1331" s="34" t="str">
        <f t="shared" si="10"/>
        <v>8638270158021416</v>
      </c>
      <c r="C1331" s="19" t="s">
        <v>905</v>
      </c>
      <c r="D1331" s="7" t="s">
        <v>140</v>
      </c>
      <c r="E1331" s="7" t="s">
        <v>609</v>
      </c>
      <c r="F1331" s="37">
        <v>1</v>
      </c>
    </row>
    <row r="1332" spans="2:6" x14ac:dyDescent="0.35">
      <c r="B1332" s="34" t="str">
        <f t="shared" si="10"/>
        <v>8638270158021416</v>
      </c>
      <c r="C1332" s="19" t="s">
        <v>905</v>
      </c>
      <c r="D1332" s="7" t="s">
        <v>146</v>
      </c>
      <c r="E1332" s="7" t="s">
        <v>641</v>
      </c>
      <c r="F1332" s="37">
        <v>1</v>
      </c>
    </row>
    <row r="1333" spans="2:6" x14ac:dyDescent="0.35">
      <c r="B1333" s="34" t="str">
        <f t="shared" si="10"/>
        <v>8638270158021416</v>
      </c>
      <c r="C1333" s="19" t="s">
        <v>905</v>
      </c>
      <c r="D1333" s="6" t="s">
        <v>180</v>
      </c>
      <c r="E1333" s="7" t="s">
        <v>610</v>
      </c>
      <c r="F1333" s="37">
        <v>1</v>
      </c>
    </row>
    <row r="1334" spans="2:6" x14ac:dyDescent="0.35">
      <c r="B1334" s="34" t="str">
        <f t="shared" si="10"/>
        <v>8638270158021416</v>
      </c>
      <c r="C1334" s="19" t="s">
        <v>905</v>
      </c>
      <c r="D1334" s="6" t="s">
        <v>182</v>
      </c>
      <c r="E1334" s="7" t="s">
        <v>611</v>
      </c>
      <c r="F1334" s="37">
        <v>1</v>
      </c>
    </row>
    <row r="1335" spans="2:6" x14ac:dyDescent="0.35">
      <c r="B1335" s="34" t="str">
        <f t="shared" si="10"/>
        <v>8638270158021416</v>
      </c>
      <c r="C1335" s="19" t="s">
        <v>905</v>
      </c>
      <c r="D1335" s="6" t="s">
        <v>196</v>
      </c>
      <c r="E1335" s="7" t="s">
        <v>642</v>
      </c>
      <c r="F1335" s="37">
        <v>1</v>
      </c>
    </row>
    <row r="1336" spans="2:6" x14ac:dyDescent="0.35">
      <c r="B1336" s="34" t="str">
        <f t="shared" si="10"/>
        <v>8638270158021416</v>
      </c>
      <c r="C1336" s="19" t="s">
        <v>905</v>
      </c>
      <c r="D1336" s="6" t="s">
        <v>198</v>
      </c>
      <c r="E1336" s="7" t="s">
        <v>643</v>
      </c>
      <c r="F1336" s="37">
        <v>1</v>
      </c>
    </row>
    <row r="1337" spans="2:6" x14ac:dyDescent="0.35">
      <c r="B1337" s="34" t="str">
        <f t="shared" si="10"/>
        <v>8638270158021416</v>
      </c>
      <c r="C1337" s="19" t="s">
        <v>905</v>
      </c>
      <c r="D1337" s="7" t="s">
        <v>228</v>
      </c>
      <c r="E1337" s="7" t="s">
        <v>612</v>
      </c>
      <c r="F1337" s="37">
        <v>1</v>
      </c>
    </row>
    <row r="1338" spans="2:6" x14ac:dyDescent="0.35">
      <c r="B1338" s="34" t="str">
        <f t="shared" si="10"/>
        <v>8638270158021416</v>
      </c>
      <c r="C1338" s="19" t="s">
        <v>905</v>
      </c>
      <c r="D1338" s="7" t="s">
        <v>230</v>
      </c>
      <c r="E1338" s="7" t="s">
        <v>613</v>
      </c>
      <c r="F1338" s="37">
        <v>1</v>
      </c>
    </row>
    <row r="1339" spans="2:6" x14ac:dyDescent="0.35">
      <c r="B1339" s="34" t="str">
        <f t="shared" si="10"/>
        <v>8638270158021416</v>
      </c>
      <c r="C1339" s="19" t="s">
        <v>905</v>
      </c>
      <c r="D1339" s="7" t="s">
        <v>240</v>
      </c>
      <c r="E1339" s="7" t="s">
        <v>644</v>
      </c>
      <c r="F1339" s="37">
        <v>1</v>
      </c>
    </row>
    <row r="1340" spans="2:6" x14ac:dyDescent="0.35">
      <c r="B1340" s="34" t="str">
        <f t="shared" si="10"/>
        <v>8638270158021416</v>
      </c>
      <c r="C1340" s="19" t="s">
        <v>905</v>
      </c>
      <c r="D1340" s="7" t="s">
        <v>242</v>
      </c>
      <c r="E1340" s="7" t="s">
        <v>645</v>
      </c>
      <c r="F1340" s="37">
        <v>1</v>
      </c>
    </row>
    <row r="1341" spans="2:6" x14ac:dyDescent="0.35">
      <c r="B1341" s="34" t="str">
        <f t="shared" si="10"/>
        <v>8638270158021416</v>
      </c>
      <c r="C1341" s="19" t="s">
        <v>905</v>
      </c>
      <c r="D1341" s="7" t="s">
        <v>280</v>
      </c>
      <c r="E1341" s="7" t="s">
        <v>631</v>
      </c>
      <c r="F1341" s="37">
        <v>2</v>
      </c>
    </row>
    <row r="1342" spans="2:6" x14ac:dyDescent="0.35">
      <c r="B1342" s="34" t="str">
        <f t="shared" si="10"/>
        <v>8638270158021416</v>
      </c>
      <c r="C1342" s="19" t="s">
        <v>905</v>
      </c>
      <c r="D1342" s="7" t="s">
        <v>284</v>
      </c>
      <c r="E1342" s="7" t="s">
        <v>587</v>
      </c>
      <c r="F1342" s="37">
        <v>1</v>
      </c>
    </row>
    <row r="1343" spans="2:6" x14ac:dyDescent="0.35">
      <c r="B1343" s="34" t="str">
        <f t="shared" si="10"/>
        <v>8638270158021416</v>
      </c>
      <c r="C1343" s="19" t="s">
        <v>905</v>
      </c>
      <c r="D1343" s="7" t="s">
        <v>290</v>
      </c>
      <c r="E1343" s="7" t="s">
        <v>632</v>
      </c>
      <c r="F1343" s="37">
        <v>2</v>
      </c>
    </row>
    <row r="1344" spans="2:6" x14ac:dyDescent="0.35">
      <c r="B1344" s="34" t="str">
        <f t="shared" si="10"/>
        <v>8638270158021416</v>
      </c>
      <c r="C1344" s="19" t="s">
        <v>905</v>
      </c>
      <c r="D1344" s="7" t="s">
        <v>294</v>
      </c>
      <c r="E1344" s="7" t="s">
        <v>588</v>
      </c>
      <c r="F1344" s="37">
        <v>1</v>
      </c>
    </row>
    <row r="1345" spans="2:6" x14ac:dyDescent="0.35">
      <c r="B1345" s="34" t="str">
        <f t="shared" si="10"/>
        <v>8638270158021416</v>
      </c>
      <c r="C1345" s="19" t="s">
        <v>905</v>
      </c>
      <c r="D1345" s="7" t="s">
        <v>308</v>
      </c>
      <c r="E1345" s="7" t="s">
        <v>614</v>
      </c>
      <c r="F1345" s="37">
        <v>2</v>
      </c>
    </row>
    <row r="1346" spans="2:6" x14ac:dyDescent="0.35">
      <c r="B1346" s="34" t="str">
        <f t="shared" si="10"/>
        <v>8638270158021416</v>
      </c>
      <c r="C1346" s="19" t="s">
        <v>905</v>
      </c>
      <c r="D1346" s="7" t="s">
        <v>314</v>
      </c>
      <c r="E1346" s="7" t="s">
        <v>646</v>
      </c>
      <c r="F1346" s="37">
        <v>2</v>
      </c>
    </row>
    <row r="1347" spans="2:6" x14ac:dyDescent="0.35">
      <c r="B1347" s="34" t="str">
        <f t="shared" si="10"/>
        <v>8638270158021416</v>
      </c>
      <c r="C1347" s="19" t="s">
        <v>905</v>
      </c>
      <c r="D1347" s="7" t="s">
        <v>332</v>
      </c>
      <c r="E1347" s="7" t="s">
        <v>552</v>
      </c>
      <c r="F1347" s="37">
        <v>2</v>
      </c>
    </row>
    <row r="1348" spans="2:6" x14ac:dyDescent="0.35">
      <c r="B1348" s="34" t="str">
        <f t="shared" si="10"/>
        <v>8638270158021416</v>
      </c>
      <c r="C1348" s="19" t="s">
        <v>905</v>
      </c>
      <c r="D1348" s="7" t="s">
        <v>336</v>
      </c>
      <c r="E1348" s="7" t="s">
        <v>634</v>
      </c>
      <c r="F1348" s="37">
        <v>2</v>
      </c>
    </row>
    <row r="1349" spans="2:6" x14ac:dyDescent="0.35">
      <c r="B1349" s="34" t="str">
        <f t="shared" si="10"/>
        <v>8638270158021416</v>
      </c>
      <c r="C1349" s="19" t="s">
        <v>905</v>
      </c>
      <c r="D1349" s="7" t="s">
        <v>340</v>
      </c>
      <c r="E1349" s="7" t="s">
        <v>606</v>
      </c>
      <c r="F1349" s="37">
        <v>1</v>
      </c>
    </row>
    <row r="1350" spans="2:6" x14ac:dyDescent="0.35">
      <c r="B1350" s="34" t="str">
        <f t="shared" si="10"/>
        <v>8638270158021416</v>
      </c>
      <c r="C1350" s="19" t="s">
        <v>905</v>
      </c>
      <c r="D1350" s="7" t="s">
        <v>342</v>
      </c>
      <c r="E1350" s="7" t="s">
        <v>635</v>
      </c>
      <c r="F1350" s="37">
        <v>2</v>
      </c>
    </row>
    <row r="1351" spans="2:6" x14ac:dyDescent="0.35">
      <c r="B1351" s="34" t="str">
        <f t="shared" si="10"/>
        <v>8638270158021416</v>
      </c>
      <c r="C1351" s="19" t="s">
        <v>905</v>
      </c>
      <c r="D1351" s="7" t="s">
        <v>348</v>
      </c>
      <c r="E1351" s="7" t="s">
        <v>591</v>
      </c>
      <c r="F1351" s="37">
        <v>2</v>
      </c>
    </row>
    <row r="1352" spans="2:6" x14ac:dyDescent="0.35">
      <c r="B1352" s="34" t="str">
        <f t="shared" si="10"/>
        <v>8638270158021416</v>
      </c>
      <c r="C1352" s="19" t="s">
        <v>905</v>
      </c>
      <c r="D1352" s="7" t="s">
        <v>358</v>
      </c>
      <c r="E1352" s="7" t="s">
        <v>592</v>
      </c>
      <c r="F1352" s="37">
        <v>3</v>
      </c>
    </row>
    <row r="1353" spans="2:6" x14ac:dyDescent="0.35">
      <c r="B1353" s="34" t="str">
        <f t="shared" si="10"/>
        <v>8638270158021416</v>
      </c>
      <c r="C1353" s="19" t="s">
        <v>905</v>
      </c>
      <c r="D1353" s="7" t="s">
        <v>360</v>
      </c>
      <c r="E1353" s="7" t="s">
        <v>593</v>
      </c>
      <c r="F1353" s="37">
        <v>2</v>
      </c>
    </row>
    <row r="1354" spans="2:6" x14ac:dyDescent="0.35">
      <c r="B1354" s="34" t="str">
        <f t="shared" si="10"/>
        <v>8638270158021416</v>
      </c>
      <c r="C1354" s="19" t="s">
        <v>905</v>
      </c>
      <c r="D1354" s="7" t="s">
        <v>364</v>
      </c>
      <c r="E1354" s="7" t="s">
        <v>557</v>
      </c>
      <c r="F1354" s="37">
        <v>2</v>
      </c>
    </row>
    <row r="1355" spans="2:6" x14ac:dyDescent="0.35">
      <c r="B1355" s="34" t="str">
        <f t="shared" si="10"/>
        <v>8638270158021416</v>
      </c>
      <c r="C1355" s="19" t="s">
        <v>905</v>
      </c>
      <c r="D1355" s="7" t="s">
        <v>366</v>
      </c>
      <c r="E1355" s="7" t="s">
        <v>636</v>
      </c>
      <c r="F1355" s="37">
        <v>2</v>
      </c>
    </row>
    <row r="1356" spans="2:6" x14ac:dyDescent="0.35">
      <c r="B1356" s="34" t="str">
        <f t="shared" si="10"/>
        <v>8638270158021416</v>
      </c>
      <c r="C1356" s="19" t="s">
        <v>905</v>
      </c>
      <c r="D1356" s="7" t="s">
        <v>370</v>
      </c>
      <c r="E1356" s="7" t="s">
        <v>594</v>
      </c>
      <c r="F1356" s="37">
        <v>2</v>
      </c>
    </row>
    <row r="1357" spans="2:6" x14ac:dyDescent="0.35">
      <c r="B1357" s="34" t="str">
        <f t="shared" si="10"/>
        <v>8638270158021416</v>
      </c>
      <c r="C1357" s="19" t="s">
        <v>905</v>
      </c>
      <c r="D1357" s="7" t="s">
        <v>372</v>
      </c>
      <c r="E1357" s="7" t="s">
        <v>558</v>
      </c>
      <c r="F1357" s="37">
        <v>2</v>
      </c>
    </row>
    <row r="1358" spans="2:6" x14ac:dyDescent="0.35">
      <c r="B1358" s="34" t="str">
        <f t="shared" si="10"/>
        <v>8638270158021416</v>
      </c>
      <c r="C1358" s="19" t="s">
        <v>905</v>
      </c>
      <c r="D1358" s="7" t="s">
        <v>374</v>
      </c>
      <c r="E1358" s="7" t="s">
        <v>637</v>
      </c>
      <c r="F1358" s="37">
        <v>2</v>
      </c>
    </row>
    <row r="1359" spans="2:6" x14ac:dyDescent="0.35">
      <c r="B1359" s="34" t="str">
        <f t="shared" si="10"/>
        <v>8638270158021416</v>
      </c>
      <c r="C1359" s="19" t="s">
        <v>905</v>
      </c>
      <c r="D1359" s="7" t="s">
        <v>382</v>
      </c>
      <c r="E1359" s="7" t="s">
        <v>595</v>
      </c>
      <c r="F1359" s="37">
        <v>3</v>
      </c>
    </row>
    <row r="1360" spans="2:6" x14ac:dyDescent="0.35">
      <c r="B1360" s="34" t="str">
        <f t="shared" si="10"/>
        <v>8638270158021416</v>
      </c>
      <c r="C1360" s="19" t="s">
        <v>905</v>
      </c>
      <c r="D1360" s="7" t="s">
        <v>480</v>
      </c>
      <c r="E1360" s="7" t="s">
        <v>561</v>
      </c>
      <c r="F1360" s="37">
        <v>0.01</v>
      </c>
    </row>
    <row r="1361" spans="2:6" x14ac:dyDescent="0.35">
      <c r="B1361" s="34" t="str">
        <f t="shared" si="10"/>
        <v>8638270158021416</v>
      </c>
      <c r="C1361" s="19" t="s">
        <v>905</v>
      </c>
      <c r="D1361" s="7" t="s">
        <v>482</v>
      </c>
      <c r="E1361" s="7" t="s">
        <v>562</v>
      </c>
      <c r="F1361" s="37">
        <v>2E-3</v>
      </c>
    </row>
    <row r="1362" spans="2:6" x14ac:dyDescent="0.35">
      <c r="B1362" s="34" t="str">
        <f t="shared" si="10"/>
        <v>8638270158021416</v>
      </c>
      <c r="C1362" s="19" t="s">
        <v>905</v>
      </c>
      <c r="D1362" s="7" t="s">
        <v>484</v>
      </c>
      <c r="E1362" s="7" t="s">
        <v>563</v>
      </c>
      <c r="F1362" s="37">
        <v>2</v>
      </c>
    </row>
    <row r="1363" spans="2:6" x14ac:dyDescent="0.35">
      <c r="B1363" s="34" t="str">
        <f t="shared" si="10"/>
        <v>8638270158021416</v>
      </c>
      <c r="C1363" s="19" t="s">
        <v>905</v>
      </c>
      <c r="D1363" s="7" t="s">
        <v>486</v>
      </c>
      <c r="E1363" s="7" t="s">
        <v>638</v>
      </c>
      <c r="F1363" s="37">
        <v>2</v>
      </c>
    </row>
    <row r="1364" spans="2:6" x14ac:dyDescent="0.35">
      <c r="B1364" s="34" t="str">
        <f>"8638270190021416"</f>
        <v>8638270190021416</v>
      </c>
      <c r="C1364" s="19" t="s">
        <v>907</v>
      </c>
      <c r="D1364" s="7" t="s">
        <v>9</v>
      </c>
      <c r="E1364" s="7" t="s">
        <v>624</v>
      </c>
      <c r="F1364" s="37">
        <v>4</v>
      </c>
    </row>
    <row r="1365" spans="2:6" x14ac:dyDescent="0.35">
      <c r="B1365" s="34" t="str">
        <f t="shared" ref="B1365:B1391" si="11">"8638270190021416"</f>
        <v>8638270190021416</v>
      </c>
      <c r="C1365" s="19" t="s">
        <v>907</v>
      </c>
      <c r="D1365" s="6" t="s">
        <v>54</v>
      </c>
      <c r="E1365" s="7" t="s">
        <v>816</v>
      </c>
      <c r="F1365" s="37">
        <v>1</v>
      </c>
    </row>
    <row r="1366" spans="2:6" x14ac:dyDescent="0.35">
      <c r="B1366" s="34" t="str">
        <f t="shared" si="11"/>
        <v>8638270190021416</v>
      </c>
      <c r="C1366" s="19" t="s">
        <v>907</v>
      </c>
      <c r="D1366" s="7" t="s">
        <v>144</v>
      </c>
      <c r="E1366" s="7" t="s">
        <v>626</v>
      </c>
      <c r="F1366" s="37">
        <v>1</v>
      </c>
    </row>
    <row r="1367" spans="2:6" x14ac:dyDescent="0.35">
      <c r="B1367" s="34" t="str">
        <f t="shared" si="11"/>
        <v>8638270190021416</v>
      </c>
      <c r="C1367" s="19" t="s">
        <v>907</v>
      </c>
      <c r="D1367" s="7" t="s">
        <v>146</v>
      </c>
      <c r="E1367" s="7" t="s">
        <v>641</v>
      </c>
      <c r="F1367" s="37">
        <v>1</v>
      </c>
    </row>
    <row r="1368" spans="2:6" x14ac:dyDescent="0.35">
      <c r="B1368" s="34" t="str">
        <f t="shared" si="11"/>
        <v>8638270190021416</v>
      </c>
      <c r="C1368" s="19" t="s">
        <v>907</v>
      </c>
      <c r="D1368" s="6" t="s">
        <v>188</v>
      </c>
      <c r="E1368" s="7" t="s">
        <v>627</v>
      </c>
      <c r="F1368" s="37">
        <v>1</v>
      </c>
    </row>
    <row r="1369" spans="2:6" x14ac:dyDescent="0.35">
      <c r="B1369" s="34" t="str">
        <f t="shared" si="11"/>
        <v>8638270190021416</v>
      </c>
      <c r="C1369" s="19" t="s">
        <v>907</v>
      </c>
      <c r="D1369" s="6" t="s">
        <v>190</v>
      </c>
      <c r="E1369" s="7" t="s">
        <v>628</v>
      </c>
      <c r="F1369" s="37">
        <v>1</v>
      </c>
    </row>
    <row r="1370" spans="2:6" x14ac:dyDescent="0.35">
      <c r="B1370" s="34" t="str">
        <f t="shared" si="11"/>
        <v>8638270190021416</v>
      </c>
      <c r="C1370" s="19" t="s">
        <v>907</v>
      </c>
      <c r="D1370" s="6" t="s">
        <v>196</v>
      </c>
      <c r="E1370" s="7" t="s">
        <v>642</v>
      </c>
      <c r="F1370" s="37">
        <v>1</v>
      </c>
    </row>
    <row r="1371" spans="2:6" x14ac:dyDescent="0.35">
      <c r="B1371" s="34" t="str">
        <f t="shared" si="11"/>
        <v>8638270190021416</v>
      </c>
      <c r="C1371" s="19" t="s">
        <v>907</v>
      </c>
      <c r="D1371" s="6" t="s">
        <v>198</v>
      </c>
      <c r="E1371" s="7" t="s">
        <v>643</v>
      </c>
      <c r="F1371" s="37">
        <v>1</v>
      </c>
    </row>
    <row r="1372" spans="2:6" x14ac:dyDescent="0.35">
      <c r="B1372" s="34" t="str">
        <f t="shared" si="11"/>
        <v>8638270190021416</v>
      </c>
      <c r="C1372" s="19" t="s">
        <v>907</v>
      </c>
      <c r="D1372" s="7" t="s">
        <v>232</v>
      </c>
      <c r="E1372" s="7" t="s">
        <v>629</v>
      </c>
      <c r="F1372" s="37">
        <v>1</v>
      </c>
    </row>
    <row r="1373" spans="2:6" x14ac:dyDescent="0.35">
      <c r="B1373" s="34" t="str">
        <f t="shared" si="11"/>
        <v>8638270190021416</v>
      </c>
      <c r="C1373" s="19" t="s">
        <v>907</v>
      </c>
      <c r="D1373" s="7" t="s">
        <v>234</v>
      </c>
      <c r="E1373" s="7" t="s">
        <v>630</v>
      </c>
      <c r="F1373" s="37">
        <v>1</v>
      </c>
    </row>
    <row r="1374" spans="2:6" x14ac:dyDescent="0.35">
      <c r="B1374" s="34" t="str">
        <f t="shared" si="11"/>
        <v>8638270190021416</v>
      </c>
      <c r="C1374" s="19" t="s">
        <v>907</v>
      </c>
      <c r="D1374" s="7" t="s">
        <v>240</v>
      </c>
      <c r="E1374" s="7" t="s">
        <v>644</v>
      </c>
      <c r="F1374" s="37">
        <v>1</v>
      </c>
    </row>
    <row r="1375" spans="2:6" x14ac:dyDescent="0.35">
      <c r="B1375" s="34" t="str">
        <f t="shared" si="11"/>
        <v>8638270190021416</v>
      </c>
      <c r="C1375" s="19" t="s">
        <v>907</v>
      </c>
      <c r="D1375" s="7" t="s">
        <v>242</v>
      </c>
      <c r="E1375" s="7" t="s">
        <v>645</v>
      </c>
      <c r="F1375" s="37">
        <v>1</v>
      </c>
    </row>
    <row r="1376" spans="2:6" x14ac:dyDescent="0.35">
      <c r="B1376" s="34" t="str">
        <f t="shared" si="11"/>
        <v>8638270190021416</v>
      </c>
      <c r="C1376" s="19" t="s">
        <v>907</v>
      </c>
      <c r="D1376" s="7" t="s">
        <v>280</v>
      </c>
      <c r="E1376" s="7" t="s">
        <v>631</v>
      </c>
      <c r="F1376" s="37">
        <v>4</v>
      </c>
    </row>
    <row r="1377" spans="2:6" x14ac:dyDescent="0.35">
      <c r="B1377" s="34" t="str">
        <f t="shared" si="11"/>
        <v>8638270190021416</v>
      </c>
      <c r="C1377" s="19" t="s">
        <v>907</v>
      </c>
      <c r="D1377" s="7" t="s">
        <v>290</v>
      </c>
      <c r="E1377" s="7" t="s">
        <v>632</v>
      </c>
      <c r="F1377" s="37">
        <v>4</v>
      </c>
    </row>
    <row r="1378" spans="2:6" x14ac:dyDescent="0.35">
      <c r="B1378" s="34" t="str">
        <f t="shared" si="11"/>
        <v>8638270190021416</v>
      </c>
      <c r="C1378" s="19" t="s">
        <v>907</v>
      </c>
      <c r="D1378" s="7" t="s">
        <v>312</v>
      </c>
      <c r="E1378" s="7" t="s">
        <v>633</v>
      </c>
      <c r="F1378" s="37">
        <v>2</v>
      </c>
    </row>
    <row r="1379" spans="2:6" x14ac:dyDescent="0.35">
      <c r="B1379" s="34" t="str">
        <f t="shared" si="11"/>
        <v>8638270190021416</v>
      </c>
      <c r="C1379" s="19" t="s">
        <v>907</v>
      </c>
      <c r="D1379" s="7" t="s">
        <v>314</v>
      </c>
      <c r="E1379" s="7" t="s">
        <v>646</v>
      </c>
      <c r="F1379" s="37">
        <v>2</v>
      </c>
    </row>
    <row r="1380" spans="2:6" x14ac:dyDescent="0.35">
      <c r="B1380" s="34" t="str">
        <f t="shared" si="11"/>
        <v>8638270190021416</v>
      </c>
      <c r="C1380" s="19" t="s">
        <v>907</v>
      </c>
      <c r="D1380" s="7" t="s">
        <v>336</v>
      </c>
      <c r="E1380" s="7" t="s">
        <v>634</v>
      </c>
      <c r="F1380" s="37">
        <v>4</v>
      </c>
    </row>
    <row r="1381" spans="2:6" x14ac:dyDescent="0.35">
      <c r="B1381" s="34" t="str">
        <f t="shared" si="11"/>
        <v>8638270190021416</v>
      </c>
      <c r="C1381" s="19" t="s">
        <v>907</v>
      </c>
      <c r="D1381" s="7" t="s">
        <v>342</v>
      </c>
      <c r="E1381" s="7" t="s">
        <v>635</v>
      </c>
      <c r="F1381" s="37">
        <v>4</v>
      </c>
    </row>
    <row r="1382" spans="2:6" x14ac:dyDescent="0.35">
      <c r="B1382" s="34" t="str">
        <f t="shared" si="11"/>
        <v>8638270190021416</v>
      </c>
      <c r="C1382" s="19" t="s">
        <v>907</v>
      </c>
      <c r="D1382" s="7" t="s">
        <v>348</v>
      </c>
      <c r="E1382" s="7" t="s">
        <v>591</v>
      </c>
      <c r="F1382" s="37">
        <v>2</v>
      </c>
    </row>
    <row r="1383" spans="2:6" x14ac:dyDescent="0.35">
      <c r="B1383" s="34" t="str">
        <f t="shared" si="11"/>
        <v>8638270190021416</v>
      </c>
      <c r="C1383" s="19" t="s">
        <v>907</v>
      </c>
      <c r="D1383" s="7" t="s">
        <v>358</v>
      </c>
      <c r="E1383" s="7" t="s">
        <v>592</v>
      </c>
      <c r="F1383" s="37">
        <v>4</v>
      </c>
    </row>
    <row r="1384" spans="2:6" x14ac:dyDescent="0.35">
      <c r="B1384" s="34" t="str">
        <f t="shared" si="11"/>
        <v>8638270190021416</v>
      </c>
      <c r="C1384" s="19" t="s">
        <v>907</v>
      </c>
      <c r="D1384" s="7" t="s">
        <v>360</v>
      </c>
      <c r="E1384" s="7" t="s">
        <v>593</v>
      </c>
      <c r="F1384" s="37">
        <v>2</v>
      </c>
    </row>
    <row r="1385" spans="2:6" x14ac:dyDescent="0.35">
      <c r="B1385" s="34" t="str">
        <f t="shared" si="11"/>
        <v>8638270190021416</v>
      </c>
      <c r="C1385" s="19" t="s">
        <v>907</v>
      </c>
      <c r="D1385" s="7" t="s">
        <v>366</v>
      </c>
      <c r="E1385" s="7" t="s">
        <v>636</v>
      </c>
      <c r="F1385" s="37">
        <v>4</v>
      </c>
    </row>
    <row r="1386" spans="2:6" x14ac:dyDescent="0.35">
      <c r="B1386" s="34" t="str">
        <f t="shared" si="11"/>
        <v>8638270190021416</v>
      </c>
      <c r="C1386" s="19" t="s">
        <v>907</v>
      </c>
      <c r="D1386" s="7" t="s">
        <v>370</v>
      </c>
      <c r="E1386" s="7" t="s">
        <v>594</v>
      </c>
      <c r="F1386" s="37">
        <v>2</v>
      </c>
    </row>
    <row r="1387" spans="2:6" x14ac:dyDescent="0.35">
      <c r="B1387" s="34" t="str">
        <f t="shared" si="11"/>
        <v>8638270190021416</v>
      </c>
      <c r="C1387" s="19" t="s">
        <v>907</v>
      </c>
      <c r="D1387" s="7" t="s">
        <v>374</v>
      </c>
      <c r="E1387" s="7" t="s">
        <v>637</v>
      </c>
      <c r="F1387" s="37">
        <v>4</v>
      </c>
    </row>
    <row r="1388" spans="2:6" x14ac:dyDescent="0.35">
      <c r="B1388" s="34" t="str">
        <f t="shared" si="11"/>
        <v>8638270190021416</v>
      </c>
      <c r="C1388" s="19" t="s">
        <v>907</v>
      </c>
      <c r="D1388" s="7" t="s">
        <v>382</v>
      </c>
      <c r="E1388" s="7" t="s">
        <v>595</v>
      </c>
      <c r="F1388" s="37">
        <v>4</v>
      </c>
    </row>
    <row r="1389" spans="2:6" x14ac:dyDescent="0.35">
      <c r="B1389" s="34" t="str">
        <f t="shared" si="11"/>
        <v>8638270190021416</v>
      </c>
      <c r="C1389" s="19" t="s">
        <v>907</v>
      </c>
      <c r="D1389" s="7" t="s">
        <v>480</v>
      </c>
      <c r="E1389" s="7" t="s">
        <v>561</v>
      </c>
      <c r="F1389" s="37">
        <v>0.01</v>
      </c>
    </row>
    <row r="1390" spans="2:6" x14ac:dyDescent="0.35">
      <c r="B1390" s="34" t="str">
        <f t="shared" si="11"/>
        <v>8638270190021416</v>
      </c>
      <c r="C1390" s="19" t="s">
        <v>907</v>
      </c>
      <c r="D1390" s="7" t="s">
        <v>482</v>
      </c>
      <c r="E1390" s="7" t="s">
        <v>562</v>
      </c>
      <c r="F1390" s="37">
        <v>2E-3</v>
      </c>
    </row>
    <row r="1391" spans="2:6" x14ac:dyDescent="0.35">
      <c r="B1391" s="34" t="str">
        <f t="shared" si="11"/>
        <v>8638270190021416</v>
      </c>
      <c r="C1391" s="19" t="s">
        <v>907</v>
      </c>
      <c r="D1391" s="7" t="s">
        <v>486</v>
      </c>
      <c r="E1391" s="7" t="s">
        <v>638</v>
      </c>
      <c r="F1391" s="37">
        <v>4</v>
      </c>
    </row>
    <row r="1392" spans="2:6" x14ac:dyDescent="0.35">
      <c r="B1392" s="34" t="str">
        <f>"8638270214026616"</f>
        <v>8638270214026616</v>
      </c>
      <c r="C1392" s="19" t="s">
        <v>910</v>
      </c>
      <c r="D1392" s="7" t="s">
        <v>9</v>
      </c>
      <c r="E1392" s="7" t="s">
        <v>624</v>
      </c>
      <c r="F1392" s="37">
        <v>4</v>
      </c>
    </row>
    <row r="1393" spans="2:6" x14ac:dyDescent="0.35">
      <c r="B1393" s="34" t="str">
        <f t="shared" ref="B1393:B1419" si="12">"8638270214026616"</f>
        <v>8638270214026616</v>
      </c>
      <c r="C1393" s="19" t="s">
        <v>910</v>
      </c>
      <c r="D1393" s="6" t="s">
        <v>56</v>
      </c>
      <c r="E1393" s="7" t="s">
        <v>817</v>
      </c>
      <c r="F1393" s="37">
        <v>1</v>
      </c>
    </row>
    <row r="1394" spans="2:6" x14ac:dyDescent="0.35">
      <c r="B1394" s="34" t="str">
        <f t="shared" si="12"/>
        <v>8638270214026616</v>
      </c>
      <c r="C1394" s="19" t="s">
        <v>910</v>
      </c>
      <c r="D1394" s="7" t="s">
        <v>146</v>
      </c>
      <c r="E1394" s="7" t="s">
        <v>641</v>
      </c>
      <c r="F1394" s="37">
        <v>1</v>
      </c>
    </row>
    <row r="1395" spans="2:6" x14ac:dyDescent="0.35">
      <c r="B1395" s="34" t="str">
        <f t="shared" si="12"/>
        <v>8638270214026616</v>
      </c>
      <c r="C1395" s="19" t="s">
        <v>910</v>
      </c>
      <c r="D1395" s="7" t="s">
        <v>148</v>
      </c>
      <c r="E1395" s="7" t="s">
        <v>649</v>
      </c>
      <c r="F1395" s="37">
        <v>1</v>
      </c>
    </row>
    <row r="1396" spans="2:6" x14ac:dyDescent="0.35">
      <c r="B1396" s="34" t="str">
        <f t="shared" si="12"/>
        <v>8638270214026616</v>
      </c>
      <c r="C1396" s="19" t="s">
        <v>910</v>
      </c>
      <c r="D1396" s="6" t="s">
        <v>196</v>
      </c>
      <c r="E1396" s="7" t="s">
        <v>642</v>
      </c>
      <c r="F1396" s="37">
        <v>1</v>
      </c>
    </row>
    <row r="1397" spans="2:6" x14ac:dyDescent="0.35">
      <c r="B1397" s="34" t="str">
        <f t="shared" si="12"/>
        <v>8638270214026616</v>
      </c>
      <c r="C1397" s="19" t="s">
        <v>910</v>
      </c>
      <c r="D1397" s="6" t="s">
        <v>198</v>
      </c>
      <c r="E1397" s="7" t="s">
        <v>643</v>
      </c>
      <c r="F1397" s="37">
        <v>1</v>
      </c>
    </row>
    <row r="1398" spans="2:6" x14ac:dyDescent="0.35">
      <c r="B1398" s="34" t="str">
        <f t="shared" si="12"/>
        <v>8638270214026616</v>
      </c>
      <c r="C1398" s="19" t="s">
        <v>910</v>
      </c>
      <c r="D1398" s="6" t="s">
        <v>200</v>
      </c>
      <c r="E1398" s="7" t="s">
        <v>650</v>
      </c>
      <c r="F1398" s="37">
        <v>1</v>
      </c>
    </row>
    <row r="1399" spans="2:6" x14ac:dyDescent="0.35">
      <c r="B1399" s="34" t="str">
        <f t="shared" si="12"/>
        <v>8638270214026616</v>
      </c>
      <c r="C1399" s="19" t="s">
        <v>910</v>
      </c>
      <c r="D1399" s="6" t="s">
        <v>202</v>
      </c>
      <c r="E1399" s="7" t="s">
        <v>651</v>
      </c>
      <c r="F1399" s="37">
        <v>1</v>
      </c>
    </row>
    <row r="1400" spans="2:6" x14ac:dyDescent="0.35">
      <c r="B1400" s="34" t="str">
        <f t="shared" si="12"/>
        <v>8638270214026616</v>
      </c>
      <c r="C1400" s="19" t="s">
        <v>910</v>
      </c>
      <c r="D1400" s="7" t="s">
        <v>240</v>
      </c>
      <c r="E1400" s="7" t="s">
        <v>644</v>
      </c>
      <c r="F1400" s="37">
        <v>1</v>
      </c>
    </row>
    <row r="1401" spans="2:6" x14ac:dyDescent="0.35">
      <c r="B1401" s="34" t="str">
        <f t="shared" si="12"/>
        <v>8638270214026616</v>
      </c>
      <c r="C1401" s="19" t="s">
        <v>910</v>
      </c>
      <c r="D1401" s="7" t="s">
        <v>242</v>
      </c>
      <c r="E1401" s="7" t="s">
        <v>645</v>
      </c>
      <c r="F1401" s="37">
        <v>1</v>
      </c>
    </row>
    <row r="1402" spans="2:6" x14ac:dyDescent="0.35">
      <c r="B1402" s="34" t="str">
        <f t="shared" si="12"/>
        <v>8638270214026616</v>
      </c>
      <c r="C1402" s="19" t="s">
        <v>910</v>
      </c>
      <c r="D1402" s="7" t="s">
        <v>244</v>
      </c>
      <c r="E1402" s="7" t="s">
        <v>652</v>
      </c>
      <c r="F1402" s="37">
        <v>1</v>
      </c>
    </row>
    <row r="1403" spans="2:6" x14ac:dyDescent="0.35">
      <c r="B1403" s="34" t="str">
        <f t="shared" si="12"/>
        <v>8638270214026616</v>
      </c>
      <c r="C1403" s="19" t="s">
        <v>910</v>
      </c>
      <c r="D1403" s="7" t="s">
        <v>246</v>
      </c>
      <c r="E1403" s="7" t="s">
        <v>653</v>
      </c>
      <c r="F1403" s="37">
        <v>1</v>
      </c>
    </row>
    <row r="1404" spans="2:6" x14ac:dyDescent="0.35">
      <c r="B1404" s="34" t="str">
        <f t="shared" si="12"/>
        <v>8638270214026616</v>
      </c>
      <c r="C1404" s="19" t="s">
        <v>910</v>
      </c>
      <c r="D1404" s="7" t="s">
        <v>280</v>
      </c>
      <c r="E1404" s="7" t="s">
        <v>631</v>
      </c>
      <c r="F1404" s="37">
        <v>4</v>
      </c>
    </row>
    <row r="1405" spans="2:6" x14ac:dyDescent="0.35">
      <c r="B1405" s="34" t="str">
        <f t="shared" si="12"/>
        <v>8638270214026616</v>
      </c>
      <c r="C1405" s="19" t="s">
        <v>910</v>
      </c>
      <c r="D1405" s="7" t="s">
        <v>290</v>
      </c>
      <c r="E1405" s="7" t="s">
        <v>632</v>
      </c>
      <c r="F1405" s="37">
        <v>4</v>
      </c>
    </row>
    <row r="1406" spans="2:6" x14ac:dyDescent="0.35">
      <c r="B1406" s="34" t="str">
        <f t="shared" si="12"/>
        <v>8638270214026616</v>
      </c>
      <c r="C1406" s="19" t="s">
        <v>910</v>
      </c>
      <c r="D1406" s="7" t="s">
        <v>314</v>
      </c>
      <c r="E1406" s="7" t="s">
        <v>646</v>
      </c>
      <c r="F1406" s="37">
        <v>2</v>
      </c>
    </row>
    <row r="1407" spans="2:6" x14ac:dyDescent="0.35">
      <c r="B1407" s="34" t="str">
        <f t="shared" si="12"/>
        <v>8638270214026616</v>
      </c>
      <c r="C1407" s="19" t="s">
        <v>910</v>
      </c>
      <c r="D1407" s="7" t="s">
        <v>316</v>
      </c>
      <c r="E1407" s="7" t="s">
        <v>654</v>
      </c>
      <c r="F1407" s="37">
        <v>2</v>
      </c>
    </row>
    <row r="1408" spans="2:6" x14ac:dyDescent="0.35">
      <c r="B1408" s="34" t="str">
        <f t="shared" si="12"/>
        <v>8638270214026616</v>
      </c>
      <c r="C1408" s="19" t="s">
        <v>910</v>
      </c>
      <c r="D1408" s="7" t="s">
        <v>336</v>
      </c>
      <c r="E1408" s="7" t="s">
        <v>634</v>
      </c>
      <c r="F1408" s="37">
        <v>4</v>
      </c>
    </row>
    <row r="1409" spans="2:6" x14ac:dyDescent="0.35">
      <c r="B1409" s="34" t="str">
        <f t="shared" si="12"/>
        <v>8638270214026616</v>
      </c>
      <c r="C1409" s="19" t="s">
        <v>910</v>
      </c>
      <c r="D1409" s="7" t="s">
        <v>342</v>
      </c>
      <c r="E1409" s="7" t="s">
        <v>635</v>
      </c>
      <c r="F1409" s="37">
        <v>4</v>
      </c>
    </row>
    <row r="1410" spans="2:6" x14ac:dyDescent="0.35">
      <c r="B1410" s="34" t="str">
        <f t="shared" si="12"/>
        <v>8638270214026616</v>
      </c>
      <c r="C1410" s="19" t="s">
        <v>910</v>
      </c>
      <c r="D1410" s="7" t="s">
        <v>348</v>
      </c>
      <c r="E1410" s="7" t="s">
        <v>591</v>
      </c>
      <c r="F1410" s="37">
        <v>2</v>
      </c>
    </row>
    <row r="1411" spans="2:6" x14ac:dyDescent="0.35">
      <c r="B1411" s="34" t="str">
        <f t="shared" si="12"/>
        <v>8638270214026616</v>
      </c>
      <c r="C1411" s="19" t="s">
        <v>910</v>
      </c>
      <c r="D1411" s="7" t="s">
        <v>358</v>
      </c>
      <c r="E1411" s="7" t="s">
        <v>592</v>
      </c>
      <c r="F1411" s="37">
        <v>4</v>
      </c>
    </row>
    <row r="1412" spans="2:6" x14ac:dyDescent="0.35">
      <c r="B1412" s="34" t="str">
        <f t="shared" si="12"/>
        <v>8638270214026616</v>
      </c>
      <c r="C1412" s="19" t="s">
        <v>910</v>
      </c>
      <c r="D1412" s="7" t="s">
        <v>360</v>
      </c>
      <c r="E1412" s="7" t="s">
        <v>593</v>
      </c>
      <c r="F1412" s="37">
        <v>2</v>
      </c>
    </row>
    <row r="1413" spans="2:6" x14ac:dyDescent="0.35">
      <c r="B1413" s="34" t="str">
        <f t="shared" si="12"/>
        <v>8638270214026616</v>
      </c>
      <c r="C1413" s="19" t="s">
        <v>910</v>
      </c>
      <c r="D1413" s="7" t="s">
        <v>366</v>
      </c>
      <c r="E1413" s="7" t="s">
        <v>636</v>
      </c>
      <c r="F1413" s="37">
        <v>4</v>
      </c>
    </row>
    <row r="1414" spans="2:6" x14ac:dyDescent="0.35">
      <c r="B1414" s="34" t="str">
        <f t="shared" si="12"/>
        <v>8638270214026616</v>
      </c>
      <c r="C1414" s="19" t="s">
        <v>910</v>
      </c>
      <c r="D1414" s="7" t="s">
        <v>370</v>
      </c>
      <c r="E1414" s="7" t="s">
        <v>594</v>
      </c>
      <c r="F1414" s="37">
        <v>2</v>
      </c>
    </row>
    <row r="1415" spans="2:6" x14ac:dyDescent="0.35">
      <c r="B1415" s="34" t="str">
        <f t="shared" si="12"/>
        <v>8638270214026616</v>
      </c>
      <c r="C1415" s="19" t="s">
        <v>910</v>
      </c>
      <c r="D1415" s="7" t="s">
        <v>374</v>
      </c>
      <c r="E1415" s="7" t="s">
        <v>637</v>
      </c>
      <c r="F1415" s="37">
        <v>4</v>
      </c>
    </row>
    <row r="1416" spans="2:6" x14ac:dyDescent="0.35">
      <c r="B1416" s="34" t="str">
        <f t="shared" si="12"/>
        <v>8638270214026616</v>
      </c>
      <c r="C1416" s="19" t="s">
        <v>910</v>
      </c>
      <c r="D1416" s="7" t="s">
        <v>382</v>
      </c>
      <c r="E1416" s="7" t="s">
        <v>595</v>
      </c>
      <c r="F1416" s="37">
        <v>4</v>
      </c>
    </row>
    <row r="1417" spans="2:6" x14ac:dyDescent="0.35">
      <c r="B1417" s="34" t="str">
        <f t="shared" si="12"/>
        <v>8638270214026616</v>
      </c>
      <c r="C1417" s="19" t="s">
        <v>910</v>
      </c>
      <c r="D1417" s="7" t="s">
        <v>480</v>
      </c>
      <c r="E1417" s="7" t="s">
        <v>561</v>
      </c>
      <c r="F1417" s="37">
        <v>0.01</v>
      </c>
    </row>
    <row r="1418" spans="2:6" x14ac:dyDescent="0.35">
      <c r="B1418" s="34" t="str">
        <f t="shared" si="12"/>
        <v>8638270214026616</v>
      </c>
      <c r="C1418" s="19" t="s">
        <v>910</v>
      </c>
      <c r="D1418" s="7" t="s">
        <v>482</v>
      </c>
      <c r="E1418" s="7" t="s">
        <v>562</v>
      </c>
      <c r="F1418" s="37">
        <v>2E-3</v>
      </c>
    </row>
    <row r="1419" spans="2:6" x14ac:dyDescent="0.35">
      <c r="B1419" s="34" t="str">
        <f t="shared" si="12"/>
        <v>8638270214026616</v>
      </c>
      <c r="C1419" s="19" t="s">
        <v>910</v>
      </c>
      <c r="D1419" s="7" t="s">
        <v>486</v>
      </c>
      <c r="E1419" s="7" t="s">
        <v>638</v>
      </c>
      <c r="F1419" s="37">
        <v>4</v>
      </c>
    </row>
    <row r="1420" spans="2:6" x14ac:dyDescent="0.35">
      <c r="B1420" s="34" t="str">
        <f>"8638270266031216"</f>
        <v>8638270266031216</v>
      </c>
      <c r="C1420" s="19" t="s">
        <v>913</v>
      </c>
      <c r="D1420" s="7" t="s">
        <v>9</v>
      </c>
      <c r="E1420" s="7" t="s">
        <v>624</v>
      </c>
      <c r="F1420" s="37">
        <v>4</v>
      </c>
    </row>
    <row r="1421" spans="2:6" x14ac:dyDescent="0.35">
      <c r="B1421" s="34" t="str">
        <f t="shared" ref="B1421:B1451" si="13">"8638270266031216"</f>
        <v>8638270266031216</v>
      </c>
      <c r="C1421" s="19" t="s">
        <v>913</v>
      </c>
      <c r="D1421" s="6" t="s">
        <v>58</v>
      </c>
      <c r="E1421" s="7" t="s">
        <v>818</v>
      </c>
      <c r="F1421" s="37">
        <v>1</v>
      </c>
    </row>
    <row r="1422" spans="2:6" x14ac:dyDescent="0.35">
      <c r="B1422" s="34" t="str">
        <f t="shared" si="13"/>
        <v>8638270266031216</v>
      </c>
      <c r="C1422" s="19" t="s">
        <v>913</v>
      </c>
      <c r="D1422" s="7" t="s">
        <v>148</v>
      </c>
      <c r="E1422" s="7" t="s">
        <v>649</v>
      </c>
      <c r="F1422" s="37">
        <v>1</v>
      </c>
    </row>
    <row r="1423" spans="2:6" x14ac:dyDescent="0.35">
      <c r="B1423" s="34" t="str">
        <f t="shared" si="13"/>
        <v>8638270266031216</v>
      </c>
      <c r="C1423" s="19" t="s">
        <v>913</v>
      </c>
      <c r="D1423" s="7" t="s">
        <v>150</v>
      </c>
      <c r="E1423" s="7" t="s">
        <v>657</v>
      </c>
      <c r="F1423" s="37">
        <v>1</v>
      </c>
    </row>
    <row r="1424" spans="2:6" x14ac:dyDescent="0.35">
      <c r="B1424" s="34" t="str">
        <f t="shared" si="13"/>
        <v>8638270266031216</v>
      </c>
      <c r="C1424" s="19" t="s">
        <v>913</v>
      </c>
      <c r="D1424" s="6" t="s">
        <v>200</v>
      </c>
      <c r="E1424" s="7" t="s">
        <v>650</v>
      </c>
      <c r="F1424" s="37">
        <v>1</v>
      </c>
    </row>
    <row r="1425" spans="2:6" x14ac:dyDescent="0.35">
      <c r="B1425" s="34" t="str">
        <f t="shared" si="13"/>
        <v>8638270266031216</v>
      </c>
      <c r="C1425" s="19" t="s">
        <v>913</v>
      </c>
      <c r="D1425" s="6" t="s">
        <v>202</v>
      </c>
      <c r="E1425" s="7" t="s">
        <v>651</v>
      </c>
      <c r="F1425" s="37">
        <v>1</v>
      </c>
    </row>
    <row r="1426" spans="2:6" x14ac:dyDescent="0.35">
      <c r="B1426" s="34" t="str">
        <f t="shared" si="13"/>
        <v>8638270266031216</v>
      </c>
      <c r="C1426" s="19" t="s">
        <v>913</v>
      </c>
      <c r="D1426" s="6" t="s">
        <v>204</v>
      </c>
      <c r="E1426" s="7" t="s">
        <v>658</v>
      </c>
      <c r="F1426" s="37">
        <v>1</v>
      </c>
    </row>
    <row r="1427" spans="2:6" x14ac:dyDescent="0.35">
      <c r="B1427" s="34" t="str">
        <f t="shared" si="13"/>
        <v>8638270266031216</v>
      </c>
      <c r="C1427" s="19" t="s">
        <v>913</v>
      </c>
      <c r="D1427" s="6" t="s">
        <v>206</v>
      </c>
      <c r="E1427" s="7" t="s">
        <v>659</v>
      </c>
      <c r="F1427" s="37">
        <v>1</v>
      </c>
    </row>
    <row r="1428" spans="2:6" x14ac:dyDescent="0.35">
      <c r="B1428" s="34" t="str">
        <f t="shared" si="13"/>
        <v>8638270266031216</v>
      </c>
      <c r="C1428" s="19" t="s">
        <v>913</v>
      </c>
      <c r="D1428" s="7" t="s">
        <v>244</v>
      </c>
      <c r="E1428" s="7" t="s">
        <v>652</v>
      </c>
      <c r="F1428" s="37">
        <v>1</v>
      </c>
    </row>
    <row r="1429" spans="2:6" x14ac:dyDescent="0.35">
      <c r="B1429" s="34" t="str">
        <f t="shared" si="13"/>
        <v>8638270266031216</v>
      </c>
      <c r="C1429" s="19" t="s">
        <v>913</v>
      </c>
      <c r="D1429" s="7" t="s">
        <v>246</v>
      </c>
      <c r="E1429" s="7" t="s">
        <v>653</v>
      </c>
      <c r="F1429" s="37">
        <v>1</v>
      </c>
    </row>
    <row r="1430" spans="2:6" x14ac:dyDescent="0.35">
      <c r="B1430" s="34" t="str">
        <f t="shared" si="13"/>
        <v>8638270266031216</v>
      </c>
      <c r="C1430" s="19" t="s">
        <v>913</v>
      </c>
      <c r="D1430" s="7" t="s">
        <v>248</v>
      </c>
      <c r="E1430" s="7" t="s">
        <v>660</v>
      </c>
      <c r="F1430" s="37">
        <v>1</v>
      </c>
    </row>
    <row r="1431" spans="2:6" x14ac:dyDescent="0.35">
      <c r="B1431" s="34" t="str">
        <f t="shared" si="13"/>
        <v>8638270266031216</v>
      </c>
      <c r="C1431" s="19" t="s">
        <v>913</v>
      </c>
      <c r="D1431" s="7" t="s">
        <v>250</v>
      </c>
      <c r="E1431" s="7" t="s">
        <v>661</v>
      </c>
      <c r="F1431" s="37">
        <v>1</v>
      </c>
    </row>
    <row r="1432" spans="2:6" x14ac:dyDescent="0.35">
      <c r="B1432" s="34" t="str">
        <f t="shared" si="13"/>
        <v>8638270266031216</v>
      </c>
      <c r="C1432" s="19" t="s">
        <v>913</v>
      </c>
      <c r="D1432" s="7" t="s">
        <v>280</v>
      </c>
      <c r="E1432" s="7" t="s">
        <v>631</v>
      </c>
      <c r="F1432" s="37">
        <v>4</v>
      </c>
    </row>
    <row r="1433" spans="2:6" x14ac:dyDescent="0.35">
      <c r="B1433" s="34" t="str">
        <f t="shared" si="13"/>
        <v>8638270266031216</v>
      </c>
      <c r="C1433" s="19" t="s">
        <v>913</v>
      </c>
      <c r="D1433" s="7" t="s">
        <v>290</v>
      </c>
      <c r="E1433" s="7" t="s">
        <v>632</v>
      </c>
      <c r="F1433" s="37">
        <v>4</v>
      </c>
    </row>
    <row r="1434" spans="2:6" x14ac:dyDescent="0.35">
      <c r="B1434" s="34" t="str">
        <f t="shared" si="13"/>
        <v>8638270266031216</v>
      </c>
      <c r="C1434" s="19" t="s">
        <v>913</v>
      </c>
      <c r="D1434" s="7" t="s">
        <v>316</v>
      </c>
      <c r="E1434" s="7" t="s">
        <v>654</v>
      </c>
      <c r="F1434" s="37">
        <v>2</v>
      </c>
    </row>
    <row r="1435" spans="2:6" x14ac:dyDescent="0.35">
      <c r="B1435" s="34" t="str">
        <f t="shared" si="13"/>
        <v>8638270266031216</v>
      </c>
      <c r="C1435" s="19" t="s">
        <v>913</v>
      </c>
      <c r="D1435" s="7" t="s">
        <v>318</v>
      </c>
      <c r="E1435" s="7" t="s">
        <v>662</v>
      </c>
      <c r="F1435" s="37">
        <v>2</v>
      </c>
    </row>
    <row r="1436" spans="2:6" x14ac:dyDescent="0.35">
      <c r="B1436" s="34" t="str">
        <f t="shared" si="13"/>
        <v>8638270266031216</v>
      </c>
      <c r="C1436" s="19" t="s">
        <v>913</v>
      </c>
      <c r="D1436" s="7" t="s">
        <v>336</v>
      </c>
      <c r="E1436" s="7" t="s">
        <v>634</v>
      </c>
      <c r="F1436" s="37">
        <v>2</v>
      </c>
    </row>
    <row r="1437" spans="2:6" x14ac:dyDescent="0.35">
      <c r="B1437" s="34" t="str">
        <f t="shared" si="13"/>
        <v>8638270266031216</v>
      </c>
      <c r="C1437" s="19" t="s">
        <v>913</v>
      </c>
      <c r="D1437" s="7" t="s">
        <v>342</v>
      </c>
      <c r="E1437" s="7" t="s">
        <v>635</v>
      </c>
      <c r="F1437" s="37">
        <v>4</v>
      </c>
    </row>
    <row r="1438" spans="2:6" x14ac:dyDescent="0.35">
      <c r="B1438" s="34" t="str">
        <f t="shared" si="13"/>
        <v>8638270266031216</v>
      </c>
      <c r="C1438" s="19" t="s">
        <v>913</v>
      </c>
      <c r="D1438" s="7" t="s">
        <v>344</v>
      </c>
      <c r="E1438" s="7" t="s">
        <v>663</v>
      </c>
      <c r="F1438" s="37">
        <v>2</v>
      </c>
    </row>
    <row r="1439" spans="2:6" x14ac:dyDescent="0.35">
      <c r="B1439" s="34" t="str">
        <f t="shared" si="13"/>
        <v>8638270266031216</v>
      </c>
      <c r="C1439" s="19" t="s">
        <v>913</v>
      </c>
      <c r="D1439" s="7" t="s">
        <v>348</v>
      </c>
      <c r="E1439" s="7" t="s">
        <v>591</v>
      </c>
      <c r="F1439" s="37">
        <v>2</v>
      </c>
    </row>
    <row r="1440" spans="2:6" x14ac:dyDescent="0.35">
      <c r="B1440" s="34" t="str">
        <f t="shared" si="13"/>
        <v>8638270266031216</v>
      </c>
      <c r="C1440" s="19" t="s">
        <v>913</v>
      </c>
      <c r="D1440" s="7" t="s">
        <v>358</v>
      </c>
      <c r="E1440" s="7" t="s">
        <v>592</v>
      </c>
      <c r="F1440" s="37">
        <v>4</v>
      </c>
    </row>
    <row r="1441" spans="2:6" x14ac:dyDescent="0.35">
      <c r="B1441" s="34" t="str">
        <f t="shared" si="13"/>
        <v>8638270266031216</v>
      </c>
      <c r="C1441" s="19" t="s">
        <v>913</v>
      </c>
      <c r="D1441" s="7" t="s">
        <v>360</v>
      </c>
      <c r="E1441" s="7" t="s">
        <v>593</v>
      </c>
      <c r="F1441" s="37">
        <v>2</v>
      </c>
    </row>
    <row r="1442" spans="2:6" x14ac:dyDescent="0.35">
      <c r="B1442" s="34" t="str">
        <f t="shared" si="13"/>
        <v>8638270266031216</v>
      </c>
      <c r="C1442" s="19" t="s">
        <v>913</v>
      </c>
      <c r="D1442" s="7" t="s">
        <v>366</v>
      </c>
      <c r="E1442" s="7" t="s">
        <v>636</v>
      </c>
      <c r="F1442" s="37">
        <v>2</v>
      </c>
    </row>
    <row r="1443" spans="2:6" x14ac:dyDescent="0.35">
      <c r="B1443" s="34" t="str">
        <f t="shared" si="13"/>
        <v>8638270266031216</v>
      </c>
      <c r="C1443" s="19" t="s">
        <v>913</v>
      </c>
      <c r="D1443" s="7" t="s">
        <v>368</v>
      </c>
      <c r="E1443" s="7" t="s">
        <v>664</v>
      </c>
      <c r="F1443" s="37">
        <v>2</v>
      </c>
    </row>
    <row r="1444" spans="2:6" x14ac:dyDescent="0.35">
      <c r="B1444" s="34" t="str">
        <f t="shared" si="13"/>
        <v>8638270266031216</v>
      </c>
      <c r="C1444" s="19" t="s">
        <v>913</v>
      </c>
      <c r="D1444" s="7" t="s">
        <v>370</v>
      </c>
      <c r="E1444" s="7" t="s">
        <v>594</v>
      </c>
      <c r="F1444" s="37">
        <v>2</v>
      </c>
    </row>
    <row r="1445" spans="2:6" x14ac:dyDescent="0.35">
      <c r="B1445" s="34" t="str">
        <f t="shared" si="13"/>
        <v>8638270266031216</v>
      </c>
      <c r="C1445" s="19" t="s">
        <v>913</v>
      </c>
      <c r="D1445" s="7" t="s">
        <v>374</v>
      </c>
      <c r="E1445" s="7" t="s">
        <v>637</v>
      </c>
      <c r="F1445" s="37">
        <v>2</v>
      </c>
    </row>
    <row r="1446" spans="2:6" x14ac:dyDescent="0.35">
      <c r="B1446" s="34" t="str">
        <f t="shared" si="13"/>
        <v>8638270266031216</v>
      </c>
      <c r="C1446" s="19" t="s">
        <v>913</v>
      </c>
      <c r="D1446" s="7" t="s">
        <v>376</v>
      </c>
      <c r="E1446" s="7" t="s">
        <v>665</v>
      </c>
      <c r="F1446" s="37">
        <v>2</v>
      </c>
    </row>
    <row r="1447" spans="2:6" x14ac:dyDescent="0.35">
      <c r="B1447" s="34" t="str">
        <f t="shared" si="13"/>
        <v>8638270266031216</v>
      </c>
      <c r="C1447" s="19" t="s">
        <v>913</v>
      </c>
      <c r="D1447" s="7" t="s">
        <v>382</v>
      </c>
      <c r="E1447" s="7" t="s">
        <v>595</v>
      </c>
      <c r="F1447" s="37">
        <v>4</v>
      </c>
    </row>
    <row r="1448" spans="2:6" x14ac:dyDescent="0.35">
      <c r="B1448" s="34" t="str">
        <f t="shared" si="13"/>
        <v>8638270266031216</v>
      </c>
      <c r="C1448" s="19" t="s">
        <v>913</v>
      </c>
      <c r="D1448" s="7" t="s">
        <v>480</v>
      </c>
      <c r="E1448" s="7" t="s">
        <v>561</v>
      </c>
      <c r="F1448" s="37">
        <v>0.01</v>
      </c>
    </row>
    <row r="1449" spans="2:6" x14ac:dyDescent="0.35">
      <c r="B1449" s="34" t="str">
        <f t="shared" si="13"/>
        <v>8638270266031216</v>
      </c>
      <c r="C1449" s="19" t="s">
        <v>913</v>
      </c>
      <c r="D1449" s="7" t="s">
        <v>482</v>
      </c>
      <c r="E1449" s="7" t="s">
        <v>562</v>
      </c>
      <c r="F1449" s="37">
        <v>2E-3</v>
      </c>
    </row>
    <row r="1450" spans="2:6" x14ac:dyDescent="0.35">
      <c r="B1450" s="34" t="str">
        <f t="shared" si="13"/>
        <v>8638270266031216</v>
      </c>
      <c r="C1450" s="19" t="s">
        <v>913</v>
      </c>
      <c r="D1450" s="7" t="s">
        <v>486</v>
      </c>
      <c r="E1450" s="7" t="s">
        <v>638</v>
      </c>
      <c r="F1450" s="37">
        <v>2</v>
      </c>
    </row>
    <row r="1451" spans="2:6" ht="15" thickBot="1" x14ac:dyDescent="0.4">
      <c r="B1451" s="35" t="str">
        <f t="shared" si="13"/>
        <v>8638270266031216</v>
      </c>
      <c r="C1451" s="19" t="s">
        <v>913</v>
      </c>
      <c r="D1451" s="8" t="s">
        <v>488</v>
      </c>
      <c r="E1451" s="8" t="s">
        <v>666</v>
      </c>
      <c r="F1451" s="38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topLeftCell="A42" workbookViewId="0">
      <selection activeCell="C2" sqref="C2:E60"/>
    </sheetView>
  </sheetViews>
  <sheetFormatPr defaultColWidth="9.1796875" defaultRowHeight="14.5" x14ac:dyDescent="0.35"/>
  <cols>
    <col min="1" max="1" width="3.81640625" style="9" customWidth="1"/>
    <col min="2" max="2" width="6.1796875" style="9" customWidth="1"/>
    <col min="3" max="3" width="19.1796875" style="9" bestFit="1" customWidth="1"/>
    <col min="4" max="4" width="50.81640625" style="9" bestFit="1" customWidth="1"/>
    <col min="5" max="5" width="10.54296875" style="9" bestFit="1" customWidth="1"/>
    <col min="6" max="6" width="10.90625" style="10" customWidth="1"/>
    <col min="7" max="7" width="16.36328125" style="10" customWidth="1"/>
    <col min="8" max="8" width="16.453125" style="9" bestFit="1" customWidth="1"/>
    <col min="9" max="9" width="19.90625" style="11" customWidth="1"/>
    <col min="10" max="10" width="23.6328125" style="11" customWidth="1"/>
    <col min="11" max="16384" width="9.1796875" style="9"/>
  </cols>
  <sheetData>
    <row r="1" spans="2:10" x14ac:dyDescent="0.35">
      <c r="B1" s="45" t="s">
        <v>819</v>
      </c>
      <c r="C1" s="46" t="s">
        <v>820</v>
      </c>
      <c r="D1" s="46" t="s">
        <v>821</v>
      </c>
      <c r="E1" s="46" t="s">
        <v>822</v>
      </c>
      <c r="F1" s="47" t="s">
        <v>823</v>
      </c>
      <c r="G1" s="47" t="s">
        <v>824</v>
      </c>
      <c r="H1" s="47" t="s">
        <v>825</v>
      </c>
      <c r="I1" s="48" t="s">
        <v>826</v>
      </c>
      <c r="J1" s="49" t="s">
        <v>827</v>
      </c>
    </row>
    <row r="2" spans="2:10" x14ac:dyDescent="0.35">
      <c r="B2" s="42">
        <v>1</v>
      </c>
      <c r="C2" s="12" t="s">
        <v>542</v>
      </c>
      <c r="D2" s="13" t="s">
        <v>828</v>
      </c>
      <c r="E2" s="13" t="s">
        <v>829</v>
      </c>
      <c r="F2" s="14">
        <v>40</v>
      </c>
      <c r="G2" s="14" t="s">
        <v>830</v>
      </c>
      <c r="H2" s="15">
        <v>7.1</v>
      </c>
      <c r="I2" s="16">
        <v>180</v>
      </c>
      <c r="J2" s="44">
        <f>H2*I2</f>
        <v>1278</v>
      </c>
    </row>
    <row r="3" spans="2:10" x14ac:dyDescent="0.35">
      <c r="B3" s="42">
        <v>2</v>
      </c>
      <c r="C3" s="12" t="s">
        <v>564</v>
      </c>
      <c r="D3" s="17" t="s">
        <v>831</v>
      </c>
      <c r="E3" s="13" t="s">
        <v>829</v>
      </c>
      <c r="F3" s="14">
        <v>50</v>
      </c>
      <c r="G3" s="14" t="s">
        <v>832</v>
      </c>
      <c r="H3" s="15">
        <v>9.1999999999999993</v>
      </c>
      <c r="I3" s="16">
        <v>150</v>
      </c>
      <c r="J3" s="44">
        <f>H3*I3</f>
        <v>1380</v>
      </c>
    </row>
    <row r="4" spans="2:10" x14ac:dyDescent="0.35">
      <c r="B4" s="42">
        <v>3</v>
      </c>
      <c r="C4" s="12" t="s">
        <v>572</v>
      </c>
      <c r="D4" s="17" t="s">
        <v>833</v>
      </c>
      <c r="E4" s="13" t="s">
        <v>829</v>
      </c>
      <c r="F4" s="14">
        <v>80</v>
      </c>
      <c r="G4" s="14" t="s">
        <v>834</v>
      </c>
      <c r="H4" s="15">
        <v>11.6</v>
      </c>
      <c r="I4" s="16">
        <v>100</v>
      </c>
      <c r="J4" s="44">
        <f t="shared" ref="J4:J60" si="0">H4*I4</f>
        <v>1160</v>
      </c>
    </row>
    <row r="5" spans="2:10" x14ac:dyDescent="0.35">
      <c r="B5" s="42">
        <v>4</v>
      </c>
      <c r="C5" s="12" t="s">
        <v>580</v>
      </c>
      <c r="D5" s="17" t="s">
        <v>835</v>
      </c>
      <c r="E5" s="13" t="s">
        <v>829</v>
      </c>
      <c r="F5" s="14">
        <v>100</v>
      </c>
      <c r="G5" s="14" t="s">
        <v>836</v>
      </c>
      <c r="H5" s="15">
        <v>12.28</v>
      </c>
      <c r="I5" s="16">
        <v>96</v>
      </c>
      <c r="J5" s="44">
        <f t="shared" si="0"/>
        <v>1178.8799999999999</v>
      </c>
    </row>
    <row r="6" spans="2:10" x14ac:dyDescent="0.35">
      <c r="B6" s="42">
        <v>5</v>
      </c>
      <c r="C6" s="12" t="s">
        <v>596</v>
      </c>
      <c r="D6" s="17" t="s">
        <v>837</v>
      </c>
      <c r="E6" s="13" t="s">
        <v>829</v>
      </c>
      <c r="F6" s="14">
        <v>100</v>
      </c>
      <c r="G6" s="14" t="s">
        <v>838</v>
      </c>
      <c r="H6" s="15">
        <v>12.14</v>
      </c>
      <c r="I6" s="16">
        <v>96</v>
      </c>
      <c r="J6" s="44">
        <f t="shared" si="0"/>
        <v>1165.44</v>
      </c>
    </row>
    <row r="7" spans="2:10" x14ac:dyDescent="0.35">
      <c r="B7" s="42">
        <v>6</v>
      </c>
      <c r="C7" s="12" t="s">
        <v>598</v>
      </c>
      <c r="D7" s="17" t="s">
        <v>839</v>
      </c>
      <c r="E7" s="13" t="s">
        <v>829</v>
      </c>
      <c r="F7" s="14">
        <v>125</v>
      </c>
      <c r="G7" s="14" t="s">
        <v>840</v>
      </c>
      <c r="H7" s="15">
        <v>19.03</v>
      </c>
      <c r="I7" s="16">
        <v>60</v>
      </c>
      <c r="J7" s="44">
        <f t="shared" si="0"/>
        <v>1141.8000000000002</v>
      </c>
    </row>
    <row r="8" spans="2:10" x14ac:dyDescent="0.35">
      <c r="B8" s="42">
        <v>7</v>
      </c>
      <c r="C8" s="12" t="s">
        <v>608</v>
      </c>
      <c r="D8" s="17" t="s">
        <v>841</v>
      </c>
      <c r="E8" s="13" t="s">
        <v>829</v>
      </c>
      <c r="F8" s="14">
        <v>150</v>
      </c>
      <c r="G8" s="14" t="s">
        <v>842</v>
      </c>
      <c r="H8" s="15">
        <v>22.68</v>
      </c>
      <c r="I8" s="16">
        <v>54</v>
      </c>
      <c r="J8" s="44">
        <f t="shared" si="0"/>
        <v>1224.72</v>
      </c>
    </row>
    <row r="9" spans="2:10" x14ac:dyDescent="0.35">
      <c r="B9" s="42">
        <v>8</v>
      </c>
      <c r="C9" s="12" t="s">
        <v>615</v>
      </c>
      <c r="D9" s="17" t="s">
        <v>843</v>
      </c>
      <c r="E9" s="13" t="s">
        <v>829</v>
      </c>
      <c r="F9" s="14" t="s">
        <v>844</v>
      </c>
      <c r="G9" s="14" t="s">
        <v>845</v>
      </c>
      <c r="H9" s="15">
        <v>26.6</v>
      </c>
      <c r="I9" s="16">
        <v>45</v>
      </c>
      <c r="J9" s="44">
        <f t="shared" si="0"/>
        <v>1197</v>
      </c>
    </row>
    <row r="10" spans="2:10" x14ac:dyDescent="0.35">
      <c r="B10" s="42">
        <v>9</v>
      </c>
      <c r="C10" s="12" t="s">
        <v>623</v>
      </c>
      <c r="D10" s="17" t="s">
        <v>846</v>
      </c>
      <c r="E10" s="13" t="s">
        <v>829</v>
      </c>
      <c r="F10" s="14" t="s">
        <v>844</v>
      </c>
      <c r="G10" s="14" t="s">
        <v>847</v>
      </c>
      <c r="H10" s="15">
        <v>45.2</v>
      </c>
      <c r="I10" s="16">
        <v>20</v>
      </c>
      <c r="J10" s="44">
        <f t="shared" si="0"/>
        <v>904</v>
      </c>
    </row>
    <row r="11" spans="2:10" x14ac:dyDescent="0.35">
      <c r="B11" s="42">
        <v>10</v>
      </c>
      <c r="C11" s="12" t="s">
        <v>639</v>
      </c>
      <c r="D11" s="17" t="s">
        <v>848</v>
      </c>
      <c r="E11" s="13" t="s">
        <v>829</v>
      </c>
      <c r="F11" s="14">
        <v>200</v>
      </c>
      <c r="G11" s="14" t="s">
        <v>849</v>
      </c>
      <c r="H11" s="15">
        <v>49.5</v>
      </c>
      <c r="I11" s="16">
        <v>20</v>
      </c>
      <c r="J11" s="44">
        <f t="shared" si="0"/>
        <v>990</v>
      </c>
    </row>
    <row r="12" spans="2:10" x14ac:dyDescent="0.35">
      <c r="B12" s="42">
        <v>11</v>
      </c>
      <c r="C12" s="12" t="s">
        <v>647</v>
      </c>
      <c r="D12" s="17" t="s">
        <v>850</v>
      </c>
      <c r="E12" s="13" t="s">
        <v>829</v>
      </c>
      <c r="F12" s="14">
        <v>250</v>
      </c>
      <c r="G12" s="14" t="s">
        <v>851</v>
      </c>
      <c r="H12" s="15">
        <v>59.6</v>
      </c>
      <c r="I12" s="16">
        <v>20</v>
      </c>
      <c r="J12" s="44">
        <f t="shared" si="0"/>
        <v>1192</v>
      </c>
    </row>
    <row r="13" spans="2:10" x14ac:dyDescent="0.35">
      <c r="B13" s="42">
        <v>12</v>
      </c>
      <c r="C13" s="12" t="s">
        <v>655</v>
      </c>
      <c r="D13" s="17" t="s">
        <v>852</v>
      </c>
      <c r="E13" s="13" t="s">
        <v>829</v>
      </c>
      <c r="F13" s="14">
        <v>300</v>
      </c>
      <c r="G13" s="14" t="s">
        <v>853</v>
      </c>
      <c r="H13" s="15">
        <v>66.900000000000006</v>
      </c>
      <c r="I13" s="16">
        <v>20</v>
      </c>
      <c r="J13" s="44">
        <f t="shared" si="0"/>
        <v>1338</v>
      </c>
    </row>
    <row r="14" spans="2:10" x14ac:dyDescent="0.35">
      <c r="B14" s="43">
        <v>13</v>
      </c>
      <c r="C14" s="12" t="s">
        <v>667</v>
      </c>
      <c r="D14" s="17" t="s">
        <v>854</v>
      </c>
      <c r="E14" s="13" t="s">
        <v>855</v>
      </c>
      <c r="F14" s="14">
        <v>40</v>
      </c>
      <c r="G14" s="14" t="s">
        <v>830</v>
      </c>
      <c r="H14" s="15">
        <v>5.23</v>
      </c>
      <c r="I14" s="16">
        <v>180</v>
      </c>
      <c r="J14" s="44">
        <f t="shared" si="0"/>
        <v>941.40000000000009</v>
      </c>
    </row>
    <row r="15" spans="2:10" x14ac:dyDescent="0.35">
      <c r="B15" s="43">
        <v>14</v>
      </c>
      <c r="C15" s="12" t="s">
        <v>670</v>
      </c>
      <c r="D15" s="17" t="s">
        <v>856</v>
      </c>
      <c r="E15" s="13" t="s">
        <v>855</v>
      </c>
      <c r="F15" s="14">
        <v>50</v>
      </c>
      <c r="G15" s="14" t="s">
        <v>832</v>
      </c>
      <c r="H15" s="15">
        <v>7</v>
      </c>
      <c r="I15" s="16">
        <v>150</v>
      </c>
      <c r="J15" s="44">
        <f t="shared" si="0"/>
        <v>1050</v>
      </c>
    </row>
    <row r="16" spans="2:10" x14ac:dyDescent="0.35">
      <c r="B16" s="43">
        <v>15</v>
      </c>
      <c r="C16" s="12" t="s">
        <v>672</v>
      </c>
      <c r="D16" s="17" t="s">
        <v>857</v>
      </c>
      <c r="E16" s="13" t="s">
        <v>855</v>
      </c>
      <c r="F16" s="14">
        <v>80</v>
      </c>
      <c r="G16" s="14" t="s">
        <v>834</v>
      </c>
      <c r="H16" s="15">
        <v>9.64</v>
      </c>
      <c r="I16" s="16">
        <v>100</v>
      </c>
      <c r="J16" s="44">
        <f t="shared" si="0"/>
        <v>964</v>
      </c>
    </row>
    <row r="17" spans="2:10" x14ac:dyDescent="0.35">
      <c r="B17" s="43">
        <v>16</v>
      </c>
      <c r="C17" s="12" t="s">
        <v>674</v>
      </c>
      <c r="D17" s="17" t="s">
        <v>858</v>
      </c>
      <c r="E17" s="13" t="s">
        <v>855</v>
      </c>
      <c r="F17" s="14">
        <v>100</v>
      </c>
      <c r="G17" s="14" t="s">
        <v>836</v>
      </c>
      <c r="H17" s="15">
        <v>11.52</v>
      </c>
      <c r="I17" s="16">
        <v>96</v>
      </c>
      <c r="J17" s="44">
        <f t="shared" si="0"/>
        <v>1105.92</v>
      </c>
    </row>
    <row r="18" spans="2:10" x14ac:dyDescent="0.35">
      <c r="B18" s="43">
        <v>17</v>
      </c>
      <c r="C18" s="12" t="s">
        <v>676</v>
      </c>
      <c r="D18" s="17" t="s">
        <v>859</v>
      </c>
      <c r="E18" s="13" t="s">
        <v>855</v>
      </c>
      <c r="F18" s="14">
        <v>100</v>
      </c>
      <c r="G18" s="14" t="s">
        <v>838</v>
      </c>
      <c r="H18" s="15">
        <v>11.52</v>
      </c>
      <c r="I18" s="16">
        <v>96</v>
      </c>
      <c r="J18" s="44">
        <f t="shared" si="0"/>
        <v>1105.92</v>
      </c>
    </row>
    <row r="19" spans="2:10" x14ac:dyDescent="0.35">
      <c r="B19" s="43">
        <v>18</v>
      </c>
      <c r="C19" s="12" t="s">
        <v>678</v>
      </c>
      <c r="D19" s="17" t="s">
        <v>860</v>
      </c>
      <c r="E19" s="13" t="s">
        <v>855</v>
      </c>
      <c r="F19" s="14">
        <v>125</v>
      </c>
      <c r="G19" s="14" t="s">
        <v>840</v>
      </c>
      <c r="H19" s="15">
        <v>16</v>
      </c>
      <c r="I19" s="16">
        <v>60</v>
      </c>
      <c r="J19" s="44">
        <f t="shared" si="0"/>
        <v>960</v>
      </c>
    </row>
    <row r="20" spans="2:10" x14ac:dyDescent="0.35">
      <c r="B20" s="43">
        <v>19</v>
      </c>
      <c r="C20" s="12" t="s">
        <v>680</v>
      </c>
      <c r="D20" s="17" t="s">
        <v>861</v>
      </c>
      <c r="E20" s="13" t="s">
        <v>855</v>
      </c>
      <c r="F20" s="14">
        <v>125</v>
      </c>
      <c r="G20" s="14" t="s">
        <v>840</v>
      </c>
      <c r="H20" s="15">
        <v>16</v>
      </c>
      <c r="I20" s="16">
        <v>60</v>
      </c>
      <c r="J20" s="44">
        <f t="shared" si="0"/>
        <v>960</v>
      </c>
    </row>
    <row r="21" spans="2:10" x14ac:dyDescent="0.35">
      <c r="B21" s="43">
        <v>20</v>
      </c>
      <c r="C21" s="12" t="s">
        <v>682</v>
      </c>
      <c r="D21" s="17" t="s">
        <v>862</v>
      </c>
      <c r="E21" s="13" t="s">
        <v>855</v>
      </c>
      <c r="F21" s="14">
        <v>150</v>
      </c>
      <c r="G21" s="14" t="s">
        <v>842</v>
      </c>
      <c r="H21" s="15">
        <v>19.82</v>
      </c>
      <c r="I21" s="16">
        <v>54</v>
      </c>
      <c r="J21" s="44">
        <f t="shared" si="0"/>
        <v>1070.28</v>
      </c>
    </row>
    <row r="22" spans="2:10" x14ac:dyDescent="0.35">
      <c r="B22" s="43">
        <v>21</v>
      </c>
      <c r="C22" s="12" t="s">
        <v>684</v>
      </c>
      <c r="D22" s="17" t="s">
        <v>863</v>
      </c>
      <c r="E22" s="13" t="s">
        <v>855</v>
      </c>
      <c r="F22" s="14" t="s">
        <v>844</v>
      </c>
      <c r="G22" s="14" t="s">
        <v>845</v>
      </c>
      <c r="H22" s="15">
        <v>26.6</v>
      </c>
      <c r="I22" s="16">
        <v>20</v>
      </c>
      <c r="J22" s="44">
        <f t="shared" si="0"/>
        <v>532</v>
      </c>
    </row>
    <row r="23" spans="2:10" x14ac:dyDescent="0.35">
      <c r="B23" s="43">
        <v>22</v>
      </c>
      <c r="C23" s="12" t="s">
        <v>686</v>
      </c>
      <c r="D23" s="17" t="s">
        <v>864</v>
      </c>
      <c r="E23" s="13" t="s">
        <v>855</v>
      </c>
      <c r="F23" s="14" t="s">
        <v>844</v>
      </c>
      <c r="G23" s="14" t="s">
        <v>847</v>
      </c>
      <c r="H23" s="15">
        <v>35.700000000000003</v>
      </c>
      <c r="I23" s="16">
        <v>20</v>
      </c>
      <c r="J23" s="44">
        <f t="shared" si="0"/>
        <v>714</v>
      </c>
    </row>
    <row r="24" spans="2:10" x14ac:dyDescent="0.35">
      <c r="B24" s="43">
        <v>23</v>
      </c>
      <c r="C24" s="12" t="s">
        <v>688</v>
      </c>
      <c r="D24" s="17" t="s">
        <v>865</v>
      </c>
      <c r="E24" s="13" t="s">
        <v>855</v>
      </c>
      <c r="F24" s="14">
        <v>200</v>
      </c>
      <c r="G24" s="14" t="s">
        <v>849</v>
      </c>
      <c r="H24" s="15">
        <v>38</v>
      </c>
      <c r="I24" s="16">
        <v>20</v>
      </c>
      <c r="J24" s="44">
        <f t="shared" si="0"/>
        <v>760</v>
      </c>
    </row>
    <row r="25" spans="2:10" x14ac:dyDescent="0.35">
      <c r="B25" s="43">
        <v>24</v>
      </c>
      <c r="C25" s="12" t="s">
        <v>690</v>
      </c>
      <c r="D25" s="17" t="s">
        <v>866</v>
      </c>
      <c r="E25" s="13" t="s">
        <v>855</v>
      </c>
      <c r="F25" s="14">
        <v>250</v>
      </c>
      <c r="G25" s="14" t="s">
        <v>851</v>
      </c>
      <c r="H25" s="15">
        <v>49.8</v>
      </c>
      <c r="I25" s="16">
        <v>20</v>
      </c>
      <c r="J25" s="44">
        <f t="shared" si="0"/>
        <v>996</v>
      </c>
    </row>
    <row r="26" spans="2:10" x14ac:dyDescent="0.35">
      <c r="B26" s="43">
        <v>25</v>
      </c>
      <c r="C26" s="12" t="s">
        <v>692</v>
      </c>
      <c r="D26" s="17" t="s">
        <v>867</v>
      </c>
      <c r="E26" s="13" t="s">
        <v>855</v>
      </c>
      <c r="F26" s="14">
        <v>300</v>
      </c>
      <c r="G26" s="14" t="s">
        <v>853</v>
      </c>
      <c r="H26" s="15">
        <v>58.5</v>
      </c>
      <c r="I26" s="16">
        <v>20</v>
      </c>
      <c r="J26" s="44">
        <f t="shared" si="0"/>
        <v>1170</v>
      </c>
    </row>
    <row r="27" spans="2:10" x14ac:dyDescent="0.35">
      <c r="B27" s="43">
        <v>26</v>
      </c>
      <c r="C27" s="12" t="s">
        <v>694</v>
      </c>
      <c r="D27" s="17" t="s">
        <v>868</v>
      </c>
      <c r="E27" s="13" t="s">
        <v>869</v>
      </c>
      <c r="F27" s="14">
        <v>40</v>
      </c>
      <c r="G27" s="14" t="s">
        <v>830</v>
      </c>
      <c r="H27" s="15">
        <v>4.4400000000000004</v>
      </c>
      <c r="I27" s="16">
        <v>180</v>
      </c>
      <c r="J27" s="44">
        <f t="shared" si="0"/>
        <v>799.2</v>
      </c>
    </row>
    <row r="28" spans="2:10" x14ac:dyDescent="0.35">
      <c r="B28" s="43">
        <v>27</v>
      </c>
      <c r="C28" s="12" t="s">
        <v>696</v>
      </c>
      <c r="D28" s="17" t="s">
        <v>870</v>
      </c>
      <c r="E28" s="13" t="s">
        <v>869</v>
      </c>
      <c r="F28" s="14">
        <v>50</v>
      </c>
      <c r="G28" s="14" t="s">
        <v>832</v>
      </c>
      <c r="H28" s="15">
        <v>6.95</v>
      </c>
      <c r="I28" s="16">
        <v>150</v>
      </c>
      <c r="J28" s="44">
        <f t="shared" si="0"/>
        <v>1042.5</v>
      </c>
    </row>
    <row r="29" spans="2:10" x14ac:dyDescent="0.35">
      <c r="B29" s="43">
        <v>28</v>
      </c>
      <c r="C29" s="12" t="s">
        <v>698</v>
      </c>
      <c r="D29" s="17" t="s">
        <v>871</v>
      </c>
      <c r="E29" s="13" t="s">
        <v>869</v>
      </c>
      <c r="F29" s="14">
        <v>80</v>
      </c>
      <c r="G29" s="14" t="s">
        <v>834</v>
      </c>
      <c r="H29" s="15">
        <v>8.77</v>
      </c>
      <c r="I29" s="16">
        <v>100</v>
      </c>
      <c r="J29" s="44">
        <f t="shared" si="0"/>
        <v>877</v>
      </c>
    </row>
    <row r="30" spans="2:10" x14ac:dyDescent="0.35">
      <c r="B30" s="43">
        <v>29</v>
      </c>
      <c r="C30" s="12" t="s">
        <v>700</v>
      </c>
      <c r="D30" s="17" t="s">
        <v>872</v>
      </c>
      <c r="E30" s="13" t="s">
        <v>869</v>
      </c>
      <c r="F30" s="14">
        <v>100</v>
      </c>
      <c r="G30" s="14" t="s">
        <v>836</v>
      </c>
      <c r="H30" s="15">
        <v>10.18</v>
      </c>
      <c r="I30" s="16">
        <v>96</v>
      </c>
      <c r="J30" s="44">
        <f t="shared" si="0"/>
        <v>977.28</v>
      </c>
    </row>
    <row r="31" spans="2:10" x14ac:dyDescent="0.35">
      <c r="B31" s="43">
        <v>30</v>
      </c>
      <c r="C31" s="12" t="s">
        <v>702</v>
      </c>
      <c r="D31" s="17" t="s">
        <v>873</v>
      </c>
      <c r="E31" s="13" t="s">
        <v>869</v>
      </c>
      <c r="F31" s="14">
        <v>100</v>
      </c>
      <c r="G31" s="14" t="s">
        <v>838</v>
      </c>
      <c r="H31" s="15">
        <v>10.199999999999999</v>
      </c>
      <c r="I31" s="16">
        <v>96</v>
      </c>
      <c r="J31" s="44">
        <f t="shared" si="0"/>
        <v>979.19999999999993</v>
      </c>
    </row>
    <row r="32" spans="2:10" x14ac:dyDescent="0.35">
      <c r="B32" s="43">
        <v>31</v>
      </c>
      <c r="C32" s="12" t="s">
        <v>703</v>
      </c>
      <c r="D32" s="17" t="s">
        <v>874</v>
      </c>
      <c r="E32" s="13" t="s">
        <v>869</v>
      </c>
      <c r="F32" s="14">
        <v>125</v>
      </c>
      <c r="G32" s="14" t="s">
        <v>840</v>
      </c>
      <c r="H32" s="15">
        <v>15.44</v>
      </c>
      <c r="I32" s="16">
        <v>60</v>
      </c>
      <c r="J32" s="44">
        <f t="shared" si="0"/>
        <v>926.4</v>
      </c>
    </row>
    <row r="33" spans="2:10" x14ac:dyDescent="0.35">
      <c r="B33" s="43">
        <v>32</v>
      </c>
      <c r="C33" s="12" t="s">
        <v>705</v>
      </c>
      <c r="D33" s="17" t="s">
        <v>875</v>
      </c>
      <c r="E33" s="13" t="s">
        <v>869</v>
      </c>
      <c r="F33" s="14">
        <v>150</v>
      </c>
      <c r="G33" s="14" t="s">
        <v>842</v>
      </c>
      <c r="H33" s="15">
        <v>17.899999999999999</v>
      </c>
      <c r="I33" s="16">
        <v>54</v>
      </c>
      <c r="J33" s="44">
        <f t="shared" si="0"/>
        <v>966.59999999999991</v>
      </c>
    </row>
    <row r="34" spans="2:10" x14ac:dyDescent="0.35">
      <c r="B34" s="43">
        <v>33</v>
      </c>
      <c r="C34" s="12" t="s">
        <v>707</v>
      </c>
      <c r="D34" s="17" t="s">
        <v>876</v>
      </c>
      <c r="E34" s="13" t="s">
        <v>869</v>
      </c>
      <c r="F34" s="14" t="s">
        <v>844</v>
      </c>
      <c r="G34" s="14" t="s">
        <v>845</v>
      </c>
      <c r="H34" s="15">
        <v>33.5</v>
      </c>
      <c r="I34" s="16">
        <v>20</v>
      </c>
      <c r="J34" s="44">
        <f t="shared" si="0"/>
        <v>670</v>
      </c>
    </row>
    <row r="35" spans="2:10" x14ac:dyDescent="0.35">
      <c r="B35" s="43">
        <v>34</v>
      </c>
      <c r="C35" s="12" t="s">
        <v>709</v>
      </c>
      <c r="D35" s="17" t="s">
        <v>877</v>
      </c>
      <c r="E35" s="13" t="s">
        <v>869</v>
      </c>
      <c r="F35" s="14" t="s">
        <v>844</v>
      </c>
      <c r="G35" s="14" t="s">
        <v>847</v>
      </c>
      <c r="H35" s="15">
        <v>21.7</v>
      </c>
      <c r="I35" s="16">
        <v>45</v>
      </c>
      <c r="J35" s="44">
        <f t="shared" si="0"/>
        <v>976.5</v>
      </c>
    </row>
    <row r="36" spans="2:10" x14ac:dyDescent="0.35">
      <c r="B36" s="43">
        <v>35</v>
      </c>
      <c r="C36" s="12" t="s">
        <v>711</v>
      </c>
      <c r="D36" s="17" t="s">
        <v>878</v>
      </c>
      <c r="E36" s="13" t="s">
        <v>869</v>
      </c>
      <c r="F36" s="14">
        <v>200</v>
      </c>
      <c r="G36" s="14" t="s">
        <v>849</v>
      </c>
      <c r="H36" s="15">
        <v>38.5</v>
      </c>
      <c r="I36" s="16">
        <v>20</v>
      </c>
      <c r="J36" s="44">
        <f t="shared" si="0"/>
        <v>770</v>
      </c>
    </row>
    <row r="37" spans="2:10" x14ac:dyDescent="0.35">
      <c r="B37" s="43">
        <v>36</v>
      </c>
      <c r="C37" s="12" t="s">
        <v>713</v>
      </c>
      <c r="D37" s="17" t="s">
        <v>879</v>
      </c>
      <c r="E37" s="13" t="s">
        <v>869</v>
      </c>
      <c r="F37" s="14">
        <v>250</v>
      </c>
      <c r="G37" s="14" t="s">
        <v>851</v>
      </c>
      <c r="H37" s="15">
        <v>46.7</v>
      </c>
      <c r="I37" s="16">
        <v>20</v>
      </c>
      <c r="J37" s="44">
        <f t="shared" si="0"/>
        <v>934</v>
      </c>
    </row>
    <row r="38" spans="2:10" x14ac:dyDescent="0.35">
      <c r="B38" s="43">
        <v>37</v>
      </c>
      <c r="C38" s="12" t="s">
        <v>715</v>
      </c>
      <c r="D38" s="17" t="s">
        <v>880</v>
      </c>
      <c r="E38" s="13" t="s">
        <v>869</v>
      </c>
      <c r="F38" s="14">
        <v>300</v>
      </c>
      <c r="G38" s="14" t="s">
        <v>853</v>
      </c>
      <c r="H38" s="15">
        <v>53.6</v>
      </c>
      <c r="I38" s="16">
        <v>20</v>
      </c>
      <c r="J38" s="44">
        <f t="shared" si="0"/>
        <v>1072</v>
      </c>
    </row>
    <row r="39" spans="2:10" x14ac:dyDescent="0.35">
      <c r="B39" s="43">
        <v>38</v>
      </c>
      <c r="C39" s="12" t="s">
        <v>717</v>
      </c>
      <c r="D39" s="17" t="s">
        <v>881</v>
      </c>
      <c r="E39" s="13" t="s">
        <v>882</v>
      </c>
      <c r="F39" s="14" t="s">
        <v>883</v>
      </c>
      <c r="G39" s="14"/>
      <c r="H39" s="18">
        <v>9</v>
      </c>
      <c r="I39" s="16">
        <v>150</v>
      </c>
      <c r="J39" s="44">
        <f t="shared" si="0"/>
        <v>1350</v>
      </c>
    </row>
    <row r="40" spans="2:10" x14ac:dyDescent="0.35">
      <c r="B40" s="43">
        <v>39</v>
      </c>
      <c r="C40" s="12" t="s">
        <v>884</v>
      </c>
      <c r="D40" s="17" t="s">
        <v>885</v>
      </c>
      <c r="E40" s="13" t="s">
        <v>882</v>
      </c>
      <c r="F40" s="14" t="s">
        <v>886</v>
      </c>
      <c r="G40" s="14"/>
      <c r="H40" s="18">
        <v>10</v>
      </c>
      <c r="I40" s="16">
        <v>100</v>
      </c>
      <c r="J40" s="44">
        <f t="shared" si="0"/>
        <v>1000</v>
      </c>
    </row>
    <row r="41" spans="2:10" x14ac:dyDescent="0.35">
      <c r="B41" s="43">
        <v>40</v>
      </c>
      <c r="C41" s="12" t="s">
        <v>887</v>
      </c>
      <c r="D41" s="17" t="s">
        <v>888</v>
      </c>
      <c r="E41" s="13" t="s">
        <v>882</v>
      </c>
      <c r="F41" s="14" t="s">
        <v>889</v>
      </c>
      <c r="G41" s="14"/>
      <c r="H41" s="18">
        <v>12.6</v>
      </c>
      <c r="I41" s="16">
        <v>96</v>
      </c>
      <c r="J41" s="44">
        <f t="shared" si="0"/>
        <v>1209.5999999999999</v>
      </c>
    </row>
    <row r="42" spans="2:10" x14ac:dyDescent="0.35">
      <c r="B42" s="43">
        <v>41</v>
      </c>
      <c r="C42" s="12" t="str">
        <f>"8638270080010616"</f>
        <v>8638270080010616</v>
      </c>
      <c r="D42" s="13" t="s">
        <v>890</v>
      </c>
      <c r="E42" s="13" t="s">
        <v>882</v>
      </c>
      <c r="F42" s="14" t="s">
        <v>889</v>
      </c>
      <c r="G42" s="14"/>
      <c r="H42" s="18">
        <v>12.82</v>
      </c>
      <c r="I42" s="16">
        <v>96</v>
      </c>
      <c r="J42" s="44">
        <f t="shared" si="0"/>
        <v>1230.72</v>
      </c>
    </row>
    <row r="43" spans="2:10" x14ac:dyDescent="0.35">
      <c r="B43" s="43">
        <v>42</v>
      </c>
      <c r="C43" s="12" t="str">
        <f>"8638270104013016"</f>
        <v>8638270104013016</v>
      </c>
      <c r="D43" s="17" t="s">
        <v>891</v>
      </c>
      <c r="E43" s="13" t="s">
        <v>882</v>
      </c>
      <c r="F43" s="14" t="s">
        <v>892</v>
      </c>
      <c r="G43" s="14"/>
      <c r="H43" s="18">
        <v>17.2</v>
      </c>
      <c r="I43" s="16">
        <v>60</v>
      </c>
      <c r="J43" s="44">
        <f t="shared" si="0"/>
        <v>1032</v>
      </c>
    </row>
    <row r="44" spans="2:10" x14ac:dyDescent="0.35">
      <c r="B44" s="43">
        <v>43</v>
      </c>
      <c r="C44" s="12" t="s">
        <v>893</v>
      </c>
      <c r="D44" s="17" t="s">
        <v>894</v>
      </c>
      <c r="E44" s="13" t="s">
        <v>882</v>
      </c>
      <c r="F44" s="14" t="s">
        <v>895</v>
      </c>
      <c r="G44" s="14"/>
      <c r="H44" s="18">
        <v>18.8</v>
      </c>
      <c r="I44" s="16">
        <v>54</v>
      </c>
      <c r="J44" s="44">
        <f t="shared" si="0"/>
        <v>1015.2</v>
      </c>
    </row>
    <row r="45" spans="2:10" x14ac:dyDescent="0.35">
      <c r="B45" s="43">
        <v>44</v>
      </c>
      <c r="C45" s="12" t="str">
        <f>"8638270106013016"</f>
        <v>8638270106013016</v>
      </c>
      <c r="D45" s="17" t="s">
        <v>896</v>
      </c>
      <c r="E45" s="13" t="s">
        <v>882</v>
      </c>
      <c r="F45" s="14" t="s">
        <v>892</v>
      </c>
      <c r="G45" s="14"/>
      <c r="H45" s="18">
        <v>17.100000000000001</v>
      </c>
      <c r="I45" s="16">
        <v>60</v>
      </c>
      <c r="J45" s="44">
        <f t="shared" si="0"/>
        <v>1026</v>
      </c>
    </row>
    <row r="46" spans="2:10" x14ac:dyDescent="0.35">
      <c r="B46" s="43">
        <v>45</v>
      </c>
      <c r="C46" s="12" t="str">
        <f>"8638270106015816"</f>
        <v>8638270106015816</v>
      </c>
      <c r="D46" s="17" t="s">
        <v>897</v>
      </c>
      <c r="E46" s="13" t="s">
        <v>882</v>
      </c>
      <c r="F46" s="14" t="s">
        <v>895</v>
      </c>
      <c r="G46" s="14"/>
      <c r="H46" s="18">
        <v>18.8</v>
      </c>
      <c r="I46" s="16">
        <v>54</v>
      </c>
      <c r="J46" s="44">
        <f t="shared" si="0"/>
        <v>1015.2</v>
      </c>
    </row>
    <row r="47" spans="2:10" x14ac:dyDescent="0.35">
      <c r="B47" s="43">
        <v>46</v>
      </c>
      <c r="C47" s="12" t="str">
        <f>"8638270130015816"</f>
        <v>8638270130015816</v>
      </c>
      <c r="D47" s="17" t="s">
        <v>898</v>
      </c>
      <c r="E47" s="13" t="s">
        <v>882</v>
      </c>
      <c r="F47" s="14" t="s">
        <v>899</v>
      </c>
      <c r="G47" s="14"/>
      <c r="H47" s="18">
        <v>22.54</v>
      </c>
      <c r="I47" s="16">
        <v>54</v>
      </c>
      <c r="J47" s="44">
        <f t="shared" si="0"/>
        <v>1217.1599999999999</v>
      </c>
    </row>
    <row r="48" spans="2:10" x14ac:dyDescent="0.35">
      <c r="B48" s="43">
        <v>47</v>
      </c>
      <c r="C48" s="12" t="s">
        <v>900</v>
      </c>
      <c r="D48" s="17" t="s">
        <v>901</v>
      </c>
      <c r="E48" s="13" t="s">
        <v>882</v>
      </c>
      <c r="F48" s="14" t="s">
        <v>902</v>
      </c>
      <c r="G48" s="14"/>
      <c r="H48" s="18">
        <v>25.5</v>
      </c>
      <c r="I48" s="16">
        <v>20</v>
      </c>
      <c r="J48" s="44">
        <f t="shared" si="0"/>
        <v>510</v>
      </c>
    </row>
    <row r="49" spans="2:10" x14ac:dyDescent="0.35">
      <c r="B49" s="43">
        <v>48</v>
      </c>
      <c r="C49" s="12" t="str">
        <f>"8638270158019816"</f>
        <v>8638270158019816</v>
      </c>
      <c r="D49" s="17" t="s">
        <v>903</v>
      </c>
      <c r="E49" s="13" t="s">
        <v>882</v>
      </c>
      <c r="F49" s="14" t="s">
        <v>904</v>
      </c>
      <c r="G49" s="14"/>
      <c r="H49" s="18">
        <v>26.5</v>
      </c>
      <c r="I49" s="16">
        <v>20</v>
      </c>
      <c r="J49" s="44">
        <f t="shared" si="0"/>
        <v>530</v>
      </c>
    </row>
    <row r="50" spans="2:10" x14ac:dyDescent="0.35">
      <c r="B50" s="43">
        <v>49</v>
      </c>
      <c r="C50" s="12" t="str">
        <f>"8638270158021416"</f>
        <v>8638270158021416</v>
      </c>
      <c r="D50" s="17" t="s">
        <v>905</v>
      </c>
      <c r="E50" s="13" t="s">
        <v>882</v>
      </c>
      <c r="F50" s="14" t="s">
        <v>904</v>
      </c>
      <c r="G50" s="14"/>
      <c r="H50" s="18">
        <v>37.5</v>
      </c>
      <c r="I50" s="16">
        <v>20</v>
      </c>
      <c r="J50" s="44">
        <f t="shared" si="0"/>
        <v>750</v>
      </c>
    </row>
    <row r="51" spans="2:10" x14ac:dyDescent="0.35">
      <c r="B51" s="43">
        <v>50</v>
      </c>
      <c r="C51" s="12" t="s">
        <v>906</v>
      </c>
      <c r="D51" s="17" t="s">
        <v>907</v>
      </c>
      <c r="E51" s="13" t="s">
        <v>882</v>
      </c>
      <c r="F51" s="14" t="s">
        <v>908</v>
      </c>
      <c r="G51" s="14"/>
      <c r="H51" s="18">
        <v>48.3</v>
      </c>
      <c r="I51" s="16">
        <v>20</v>
      </c>
      <c r="J51" s="44">
        <f t="shared" si="0"/>
        <v>966</v>
      </c>
    </row>
    <row r="52" spans="2:10" x14ac:dyDescent="0.35">
      <c r="B52" s="43">
        <v>51</v>
      </c>
      <c r="C52" s="12" t="s">
        <v>909</v>
      </c>
      <c r="D52" s="17" t="s">
        <v>910</v>
      </c>
      <c r="E52" s="13" t="s">
        <v>882</v>
      </c>
      <c r="F52" s="14" t="s">
        <v>911</v>
      </c>
      <c r="G52" s="14"/>
      <c r="H52" s="18">
        <v>55.1</v>
      </c>
      <c r="I52" s="16">
        <v>20</v>
      </c>
      <c r="J52" s="44">
        <f t="shared" si="0"/>
        <v>1102</v>
      </c>
    </row>
    <row r="53" spans="2:10" x14ac:dyDescent="0.35">
      <c r="B53" s="43">
        <v>52</v>
      </c>
      <c r="C53" s="17" t="s">
        <v>912</v>
      </c>
      <c r="D53" s="17" t="s">
        <v>913</v>
      </c>
      <c r="E53" s="13" t="s">
        <v>882</v>
      </c>
      <c r="F53" s="14" t="s">
        <v>914</v>
      </c>
      <c r="G53" s="14"/>
      <c r="H53" s="18">
        <v>64.5</v>
      </c>
      <c r="I53" s="16">
        <v>20</v>
      </c>
      <c r="J53" s="44">
        <f t="shared" si="0"/>
        <v>1290</v>
      </c>
    </row>
    <row r="54" spans="2:10" x14ac:dyDescent="0.35">
      <c r="B54" s="43">
        <v>53</v>
      </c>
      <c r="C54" s="12" t="s">
        <v>722</v>
      </c>
      <c r="D54" s="17" t="s">
        <v>915</v>
      </c>
      <c r="E54" s="13" t="s">
        <v>916</v>
      </c>
      <c r="F54" s="14">
        <v>100</v>
      </c>
      <c r="G54" s="14" t="s">
        <v>917</v>
      </c>
      <c r="H54" s="15">
        <v>33.299999999999997</v>
      </c>
      <c r="I54" s="16">
        <v>6</v>
      </c>
      <c r="J54" s="44">
        <f t="shared" si="0"/>
        <v>199.79999999999998</v>
      </c>
    </row>
    <row r="55" spans="2:10" x14ac:dyDescent="0.35">
      <c r="B55" s="43">
        <v>54</v>
      </c>
      <c r="C55" s="12" t="s">
        <v>737</v>
      </c>
      <c r="D55" s="17" t="s">
        <v>918</v>
      </c>
      <c r="E55" s="13" t="s">
        <v>916</v>
      </c>
      <c r="F55" s="14">
        <v>100</v>
      </c>
      <c r="G55" s="14" t="s">
        <v>917</v>
      </c>
      <c r="H55" s="15">
        <v>32.700000000000003</v>
      </c>
      <c r="I55" s="16">
        <v>6</v>
      </c>
      <c r="J55" s="44">
        <f t="shared" si="0"/>
        <v>196.20000000000002</v>
      </c>
    </row>
    <row r="56" spans="2:10" x14ac:dyDescent="0.35">
      <c r="B56" s="43">
        <v>55</v>
      </c>
      <c r="C56" s="12" t="s">
        <v>742</v>
      </c>
      <c r="D56" s="17" t="s">
        <v>919</v>
      </c>
      <c r="E56" s="13" t="s">
        <v>916</v>
      </c>
      <c r="F56" s="14">
        <v>150</v>
      </c>
      <c r="G56" s="14" t="s">
        <v>920</v>
      </c>
      <c r="H56" s="15">
        <v>45.8</v>
      </c>
      <c r="I56" s="16">
        <v>4</v>
      </c>
      <c r="J56" s="44">
        <f t="shared" si="0"/>
        <v>183.2</v>
      </c>
    </row>
    <row r="57" spans="2:10" x14ac:dyDescent="0.35">
      <c r="B57" s="43">
        <v>56</v>
      </c>
      <c r="C57" s="12" t="s">
        <v>752</v>
      </c>
      <c r="D57" s="17" t="s">
        <v>921</v>
      </c>
      <c r="E57" s="13" t="s">
        <v>916</v>
      </c>
      <c r="F57" s="14">
        <v>150</v>
      </c>
      <c r="G57" s="14" t="s">
        <v>920</v>
      </c>
      <c r="H57" s="15">
        <v>46</v>
      </c>
      <c r="I57" s="16">
        <v>4</v>
      </c>
      <c r="J57" s="44">
        <f t="shared" si="0"/>
        <v>184</v>
      </c>
    </row>
    <row r="58" spans="2:10" x14ac:dyDescent="0.35">
      <c r="B58" s="43">
        <v>57</v>
      </c>
      <c r="C58" s="12" t="s">
        <v>755</v>
      </c>
      <c r="D58" s="17" t="s">
        <v>922</v>
      </c>
      <c r="E58" s="13" t="s">
        <v>916</v>
      </c>
      <c r="F58" s="14">
        <v>200</v>
      </c>
      <c r="G58" s="14" t="s">
        <v>923</v>
      </c>
      <c r="H58" s="15">
        <v>66.2</v>
      </c>
      <c r="I58" s="16">
        <v>3</v>
      </c>
      <c r="J58" s="44">
        <f t="shared" si="0"/>
        <v>198.60000000000002</v>
      </c>
    </row>
    <row r="59" spans="2:10" x14ac:dyDescent="0.35">
      <c r="B59" s="43">
        <v>58</v>
      </c>
      <c r="C59" s="12" t="s">
        <v>781</v>
      </c>
      <c r="D59" s="17" t="s">
        <v>924</v>
      </c>
      <c r="E59" s="13" t="s">
        <v>916</v>
      </c>
      <c r="F59" s="14">
        <v>250</v>
      </c>
      <c r="G59" s="14" t="s">
        <v>925</v>
      </c>
      <c r="H59" s="15">
        <v>84</v>
      </c>
      <c r="I59" s="16">
        <v>2</v>
      </c>
      <c r="J59" s="44">
        <f t="shared" si="0"/>
        <v>168</v>
      </c>
    </row>
    <row r="60" spans="2:10" x14ac:dyDescent="0.35">
      <c r="B60" s="50">
        <v>59</v>
      </c>
      <c r="C60" s="51" t="s">
        <v>800</v>
      </c>
      <c r="D60" s="52" t="s">
        <v>926</v>
      </c>
      <c r="E60" s="53" t="s">
        <v>916</v>
      </c>
      <c r="F60" s="54">
        <v>300</v>
      </c>
      <c r="G60" s="54" t="s">
        <v>927</v>
      </c>
      <c r="H60" s="55">
        <v>123.5</v>
      </c>
      <c r="I60" s="56">
        <v>2</v>
      </c>
      <c r="J60" s="57">
        <f t="shared" si="0"/>
        <v>247</v>
      </c>
    </row>
  </sheetData>
  <conditionalFormatting sqref="J2:J60">
    <cfRule type="top10" dxfId="0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58" customFormat="1" x14ac:dyDescent="0.35">
      <c r="A1" s="58" t="s">
        <v>540</v>
      </c>
      <c r="B1" s="58" t="s">
        <v>929</v>
      </c>
      <c r="D1" s="58" t="s">
        <v>930</v>
      </c>
      <c r="E1" s="58" t="s">
        <v>931</v>
      </c>
      <c r="F1" s="58" t="s">
        <v>932</v>
      </c>
      <c r="G1" s="58" t="s">
        <v>933</v>
      </c>
      <c r="J1" s="58" t="s">
        <v>934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
    tblInventory[Qty on Stock],
    tblInventory[SKU], D2,
    tblInventory[Status], "טובים"
  ),
  0
)</f>
        <v>222</v>
      </c>
      <c r="F2" cm="1">
        <f t="array" ref="F2">SUMPRODUCT(
  $B$2:$B$60,
  SUMIFS(
     tblBOM[Units in FG],
     tblBOM[FG], $A$2:$A$60,
     tblBOM[SKU], D2
  )
)</f>
        <v>0</v>
      </c>
      <c r="G2">
        <f>E2 - F2</f>
        <v>222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
    tblInventory[Qty on Stock],
    tblInventory[SKU], D3,
    tblInventory[Status], "טובים"
  ),
  0
)</f>
        <v>611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611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
    tblInventory[Qty on Stock],
    tblInventory[SKU], D4,
    tblInventory[Status], "טובים"
  ),
  0
)</f>
        <v>393</v>
      </c>
      <c r="F4" cm="1">
        <f t="array" ref="F4">SUMPRODUCT(
  $B$2:$B$60,
  SUMIFS(
     tblBOM[Units in FG],
     tblBOM[FG], $A$2:$A$60,
     tblBOM[SKU], D4
  )
)</f>
        <v>0</v>
      </c>
      <c r="G4">
        <f t="shared" si="0"/>
        <v>393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
    tblInventory[Qty on Stock],
    tblInventory[SKU], D5,
    tblInventory[Status], "טובים"
  ),
  0
)</f>
        <v>338</v>
      </c>
      <c r="F5" cm="1">
        <f t="array" ref="F5">SUMPRODUCT(
  $B$2:$B$60,
  SUMIFS(
     tblBOM[Units in FG],
     tblBOM[FG], $A$2:$A$60,
     tblBOM[SKU], D5
  )
)</f>
        <v>0</v>
      </c>
      <c r="G5">
        <f t="shared" si="0"/>
        <v>338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
    tblInventory[Qty on Stock],
    tblInventory[SKU], D6,
    tblInventory[Status], "טובים"
  ),
  0
)</f>
        <v>426</v>
      </c>
      <c r="F6" cm="1">
        <f t="array" ref="F6">SUMPRODUCT(
  $B$2:$B$60,
  SUMIFS(
     tblBOM[Units in FG],
     tblBOM[FG], $A$2:$A$60,
     tblBOM[SKU], D6
  )
)</f>
        <v>0</v>
      </c>
      <c r="G6">
        <f t="shared" si="0"/>
        <v>426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
    tblInventory[Qty on Stock],
    tblInventory[SKU], D7,
    tblInventory[Status], "טובים"
  ),
  0
)</f>
        <v>629</v>
      </c>
      <c r="F7" cm="1">
        <f t="array" ref="F7">SUMPRODUCT(
  $B$2:$B$60,
  SUMIFS(
     tblBOM[Units in FG],
     tblBOM[FG], $A$2:$A$60,
     tblBOM[SKU], D7
  )
)</f>
        <v>0</v>
      </c>
      <c r="G7">
        <f t="shared" si="0"/>
        <v>629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
    tblInventory[Qty on Stock],
    tblInventory[SKU], D8,
    tblInventory[Status], "טובים"
  ),
  0
)</f>
        <v>4739</v>
      </c>
      <c r="F8" cm="1">
        <f t="array" ref="F8">SUMPRODUCT(
  $B$2:$B$60,
  SUMIFS(
     tblBOM[Units in FG],
     tblBOM[FG], $A$2:$A$60,
     tblBOM[SKU], D8
  )
)</f>
        <v>0</v>
      </c>
      <c r="G8">
        <f t="shared" si="0"/>
        <v>4739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
    tblInventory[Qty on Stock],
    tblInventory[SKU], D9,
    tblInventory[Status], "טובים"
  ),
  0
)</f>
        <v>4506</v>
      </c>
      <c r="F9" cm="1">
        <f t="array" ref="F9">SUMPRODUCT(
  $B$2:$B$60,
  SUMIFS(
     tblBOM[Units in FG],
     tblBOM[FG], $A$2:$A$60,
     tblBOM[SKU], D9
  )
)</f>
        <v>0</v>
      </c>
      <c r="G9">
        <f t="shared" si="0"/>
        <v>4506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
    tblInventory[Qty on Stock],
    tblInventory[SKU], D10,
    tblInventory[Status], "טובים"
  ),
  0
)</f>
        <v>248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248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
    tblInventory[Qty on Stock],
    tblInventory[SKU], D11,
    tblInventory[Status], "טובים"
  ),
  0
)</f>
        <v>56228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56228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
    tblInventory[Qty on Stock],
    tblInventory[SKU], D12,
    tblInventory[Status], "טובים"
  ),
  0
)</f>
        <v>2907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2907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
    tblInventory[Qty on Stock],
    tblInventory[SKU], D13,
    tblInventory[Status], "טובים"
  ),
  0
)</f>
        <v>8150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8150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
    tblInventory[Qty on Stock],
    tblInventory[SKU], D14,
    tblInventory[Status], "טובים"
  ),
  0
)</f>
        <v>4270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4270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
    tblInventory[Qty on Stock],
    tblInventory[SKU], D15,
    tblInventory[Status], "טובים"
  ),
  0
)</f>
        <v>17850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17850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
    tblInventory[Qty on Stock],
    tblInventory[SKU], D16,
    tblInventory[Status], "טובים"
  ),
  0
)</f>
        <v>58632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58632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
    tblInventory[Qty on Stock],
    tblInventory[SKU], D17,
    tblInventory[Status], "טובים"
  ),
  0
)</f>
        <v>57478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57478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
    tblInventory[Qty on Stock],
    tblInventory[SKU], D18,
    tblInventory[Status], "טובים"
  ),
  0
)</f>
        <v>18920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18920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
    tblInventory[Qty on Stock],
    tblInventory[SKU], D19,
    tblInventory[Status], "טובים"
  ),
  0
)</f>
        <v>9850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9850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
    tblInventory[Qty on Stock],
    tblInventory[SKU], D20,
    tblInventory[Status], "טובים"
  ),
  0
)</f>
        <v>225.8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225.8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
    tblInventory[Qty on Stock],
    tblInventory[SKU], D21,
    tblInventory[Status], "טובים"
  ),
  0
)</f>
        <v>61.498999999999995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61.498999999999995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
    tblInventory[Qty on Stock],
    tblInventory[SKU], D22,
    tblInventory[Status], "טובים"
  ),
  0
)</f>
        <v>56494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56494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
    tblInventory[Qty on Stock],
    tblInventory[SKU], D23,
    tblInventory[Status], "טובים"
  ),
  0
)</f>
        <v>247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247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
    tblInventory[Qty on Stock],
    tblInventory[SKU], D24,
    tblInventory[Status], "טובים"
  ),
  0
)</f>
        <v>592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592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
    tblInventory[Qty on Stock],
    tblInventory[SKU], D25,
    tblInventory[Status], "טובים"
  ),
  0
)</f>
        <v>765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765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
    tblInventory[Qty on Stock],
    tblInventory[SKU], D26,
    tblInventory[Status], "טובים"
  ),
  0
)</f>
        <v>331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331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
    tblInventory[Qty on Stock],
    tblInventory[SKU], D27,
    tblInventory[Status], "טובים"
  ),
  0
)</f>
        <v>254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254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
    tblInventory[Qty on Stock],
    tblInventory[SKU], D28,
    tblInventory[Status], "טובים"
  ),
  0
)</f>
        <v>351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351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
    tblInventory[Qty on Stock],
    tblInventory[SKU], D29,
    tblInventory[Status], "טובים"
  ),
  0
)</f>
        <v>336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336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
    tblInventory[Qty on Stock],
    tblInventory[SKU], D30,
    tblInventory[Status], "טובים"
  ),
  0
)</f>
        <v>101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101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
    tblInventory[Qty on Stock],
    tblInventory[SKU], D31,
    tblInventory[Status], "טובים"
  ),
  0
)</f>
        <v>769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769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
    tblInventory[Qty on Stock],
    tblInventory[SKU], D32,
    tblInventory[Status], "טובים"
  ),
  0
)</f>
        <v>1376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1376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
    tblInventory[Qty on Stock],
    tblInventory[SKU], D33,
    tblInventory[Status], "טובים"
  ),
  0
)</f>
        <v>1528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1528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
    tblInventory[Qty on Stock],
    tblInventory[SKU], D34,
    tblInventory[Status], "טובים"
  ),
  0
)</f>
        <v>1017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1017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
    tblInventory[Qty on Stock],
    tblInventory[SKU], D35,
    tblInventory[Status], "טובים"
  ),
  0
)</f>
        <v>645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645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
    tblInventory[Qty on Stock],
    tblInventory[SKU], D36,
    tblInventory[Status], "טובים"
  ),
  0
)</f>
        <v>935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935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
    tblInventory[Qty on Stock],
    tblInventory[SKU], D37,
    tblInventory[Status], "טובים"
  ),
  0
)</f>
        <v>4542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4542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
    tblInventory[Qty on Stock],
    tblInventory[SKU], D38,
    tblInventory[Status], "טובים"
  ),
  0
)</f>
        <v>4459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4459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
    tblInventory[Qty on Stock],
    tblInventory[SKU], D39,
    tblInventory[Status], "טובים"
  ),
  0
)</f>
        <v>11506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11506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
    tblInventory[Qty on Stock],
    tblInventory[SKU], D40,
    tblInventory[Status], "טובים"
  ),
  0
)</f>
        <v>11597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11597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
    tblInventory[Qty on Stock],
    tblInventory[SKU], D41,
    tblInventory[Status], "טובים"
  ),
  0
)</f>
        <v>3187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3187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
    tblInventory[Qty on Stock],
    tblInventory[SKU], D42,
    tblInventory[Status], "טובים"
  ),
  0
)</f>
        <v>4052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4052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
    tblInventory[Qty on Stock],
    tblInventory[SKU], D43,
    tblInventory[Status], "טובים"
  ),
  0
)</f>
        <v>11329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11329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
    tblInventory[Qty on Stock],
    tblInventory[SKU], D44,
    tblInventory[Status], "טובים"
  ),
  0
)</f>
        <v>14289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14289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
    tblInventory[Qty on Stock],
    tblInventory[SKU], D45,
    tblInventory[Status], "טובים"
  ),
  0
)</f>
        <v>3531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3531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
    tblInventory[Qty on Stock],
    tblInventory[SKU], D46,
    tblInventory[Status], "טובים"
  ),
  0
)</f>
        <v>7644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7644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
    tblInventory[Qty on Stock],
    tblInventory[SKU], D47,
    tblInventory[Status], "טובים"
  ),
  0
)</f>
        <v>20709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20709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
    tblInventory[Qty on Stock],
    tblInventory[SKU], D48,
    tblInventory[Status], "טובים"
  ),
  0
)</f>
        <v>34719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34719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
    tblInventory[Qty on Stock],
    tblInventory[SKU], D49,
    tblInventory[Status], "טובים"
  ),
  0
)</f>
        <v>22009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22009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
    tblInventory[Qty on Stock],
    tblInventory[SKU], D50,
    tblInventory[Status], "טובים"
  ),
  0
)</f>
        <v>34509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34509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
    tblInventory[Qty on Stock],
    tblInventory[SKU], D51,
    tblInventory[Status], "טובים"
  ),
  0
)</f>
        <v>39789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39789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
    tblInventory[Qty on Stock],
    tblInventory[SKU], D52,
    tblInventory[Status], "טובים"
  ),
  0
)</f>
        <v>1796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1796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
    tblInventory[Qty on Stock],
    tblInventory[SKU], D53,
    tblInventory[Status], "טובים"
  ),
  0
)</f>
        <v>1354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1354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
    tblInventory[Qty on Stock],
    tblInventory[SKU], D54,
    tblInventory[Status], "טובים"
  ),
  0
)</f>
        <v>2467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2467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
    tblInventory[Qty on Stock],
    tblInventory[SKU], D55,
    tblInventory[Status], "טובים"
  ),
  0
)</f>
        <v>1995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1995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
    tblInventory[Qty on Stock],
    tblInventory[SKU], D56,
    tblInventory[Status], "טובים"
  ),
  0
)</f>
        <v>1661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1661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
    tblInventory[Qty on Stock],
    tblInventory[SKU], D57,
    tblInventory[Status], "טובים"
  ),
  0
)</f>
        <v>2366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2366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
    tblInventory[Qty on Stock],
    tblInventory[SKU], D58,
    tblInventory[Status], "טובים"
  ),
  0
)</f>
        <v>2491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2491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
    tblInventory[Qty on Stock],
    tblInventory[SKU], D59,
    tblInventory[Status], "טובים"
  ),
  0
)</f>
        <v>3728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3728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
    tblInventory[Qty on Stock],
    tblInventory[SKU], D60,
    tblInventory[Status], "טובים"
  ),
  0
)</f>
        <v>9883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9883</v>
      </c>
    </row>
    <row r="61" spans="1:7" x14ac:dyDescent="0.35">
      <c r="D61" t="str">
        <v>260-05-06158</v>
      </c>
      <c r="E61">
        <f>IFERROR(
  SUMIFS(
    tblInventory[Qty on Stock],
    tblInventory[SKU], D61,
    tblInventory[Status], "טובים"
  ),
  0
)</f>
        <v>4455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4455</v>
      </c>
    </row>
    <row r="62" spans="1:7" x14ac:dyDescent="0.35">
      <c r="D62" t="str">
        <v>370-01-060190-LW</v>
      </c>
      <c r="E62">
        <f>IFERROR(
  SUMIFS(
    tblInventory[Qty on Stock],
    tblInventory[SKU], D62,
    tblInventory[Status], "טובים"
  ),
  0
)</f>
        <v>5336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5336</v>
      </c>
    </row>
    <row r="63" spans="1:7" x14ac:dyDescent="0.35">
      <c r="D63" t="str">
        <v>526-10-06158GAT</v>
      </c>
      <c r="E63">
        <f>IFERROR(
  SUMIFS(
    tblInventory[Qty on Stock],
    tblInventory[SKU], D63,
    tblInventory[Status], "טובים"
  ),
  0
)</f>
        <v>4728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4728</v>
      </c>
    </row>
    <row r="64" spans="1:7" x14ac:dyDescent="0.35">
      <c r="D64" t="str">
        <v>526-10-06158GBT</v>
      </c>
      <c r="E64">
        <f>IFERROR(
  SUMIFS(
    tblInventory[Qty on Stock],
    tblInventory[SKU], D64,
    tblInventory[Status], "טובים"
  ),
  0
)</f>
        <v>4751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4751</v>
      </c>
    </row>
    <row r="65" spans="4:7" x14ac:dyDescent="0.35">
      <c r="D65" t="str">
        <v>557-0825-06158-A</v>
      </c>
      <c r="E65">
        <f>IFERROR(
  SUMIFS(
    tblInventory[Qty on Stock],
    tblInventory[SKU], D65,
    tblInventory[Status], "טובים"
  ),
  0
)</f>
        <v>5455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5455</v>
      </c>
    </row>
    <row r="66" spans="4:7" x14ac:dyDescent="0.35">
      <c r="D66" t="str">
        <v>557-0825-06158-B</v>
      </c>
      <c r="E66">
        <f>IFERROR(
  SUMIFS(
    tblInventory[Qty on Stock],
    tblInventory[SKU], D66,
    tblInventory[Status], "טובים"
  ),
  0
)</f>
        <v>5364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5364</v>
      </c>
    </row>
    <row r="67" spans="4:7" x14ac:dyDescent="0.35">
      <c r="D67" t="str">
        <v>828-01-060158</v>
      </c>
      <c r="E67">
        <f>IFERROR(
  SUMIFS(
    tblInventory[Qty on Stock],
    tblInventory[SKU], D67,
    tblInventory[Status], "טובים"
  ),
  0
)</f>
        <v>8933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8933</v>
      </c>
    </row>
    <row r="68" spans="4:7" x14ac:dyDescent="0.35">
      <c r="D68" t="str">
        <v>260-05-07198</v>
      </c>
      <c r="E68">
        <f>IFERROR(
  SUMIFS(
    tblInventory[Qty on Stock],
    tblInventory[SKU], D68,
    tblInventory[Status], "טובים"
  ),
  0
)</f>
        <v>1122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1122</v>
      </c>
    </row>
    <row r="69" spans="4:7" x14ac:dyDescent="0.35">
      <c r="D69" t="str">
        <v>370-01-070230-LW</v>
      </c>
      <c r="E69">
        <f>IFERROR(
  SUMIFS(
    tblInventory[Qty on Stock],
    tblInventory[SKU], D69,
    tblInventory[Status], "טובים"
  ),
  0
)</f>
        <v>1525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1525</v>
      </c>
    </row>
    <row r="70" spans="4:7" x14ac:dyDescent="0.35">
      <c r="D70" t="str">
        <v>526-10-07198GAT</v>
      </c>
      <c r="E70">
        <f>IFERROR(
  SUMIFS(
    tblInventory[Qty on Stock],
    tblInventory[SKU], D70,
    tblInventory[Status], "טובים"
  ),
  0
)</f>
        <v>3066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3066</v>
      </c>
    </row>
    <row r="71" spans="4:7" x14ac:dyDescent="0.35">
      <c r="D71" t="str">
        <v>526-10-07198GBT</v>
      </c>
      <c r="E71">
        <f>IFERROR(
  SUMIFS(
    tblInventory[Qty on Stock],
    tblInventory[SKU], D71,
    tblInventory[Status], "טובים"
  ),
  0
)</f>
        <v>3008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3008</v>
      </c>
    </row>
    <row r="72" spans="4:7" x14ac:dyDescent="0.35">
      <c r="D72" t="str">
        <v>557-0825-07198-A</v>
      </c>
      <c r="E72">
        <f>IFERROR(
  SUMIFS(
    tblInventory[Qty on Stock],
    tblInventory[SKU], D72,
    tblInventory[Status], "טובים"
  ),
  0
)</f>
        <v>962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962</v>
      </c>
    </row>
    <row r="73" spans="4:7" x14ac:dyDescent="0.35">
      <c r="D73" t="str">
        <v>557-0825-07198-B</v>
      </c>
      <c r="E73">
        <f>IFERROR(
  SUMIFS(
    tblInventory[Qty on Stock],
    tblInventory[SKU], D73,
    tblInventory[Status], "טובים"
  ),
  0
)</f>
        <v>1377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1377</v>
      </c>
    </row>
    <row r="74" spans="4:7" x14ac:dyDescent="0.35">
      <c r="D74" t="str">
        <v>828-01-070198</v>
      </c>
      <c r="E74">
        <f>IFERROR(
  SUMIFS(
    tblInventory[Qty on Stock],
    tblInventory[SKU], D74,
    tblInventory[Status], "טובים"
  ),
  0
)</f>
        <v>1723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1723</v>
      </c>
    </row>
    <row r="75" spans="4:7" x14ac:dyDescent="0.35">
      <c r="D75" t="str">
        <v>135010659902</v>
      </c>
      <c r="E75">
        <f>IFERROR(
  SUMIFS(
    tblInventory[Qty on Stock],
    tblInventory[SKU], D75,
    tblInventory[Status], "טובים"
  ),
  0
)</f>
        <v>2512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2512</v>
      </c>
    </row>
    <row r="76" spans="4:7" x14ac:dyDescent="0.35">
      <c r="D76" t="str">
        <v>260-05-07190</v>
      </c>
      <c r="E76">
        <f>IFERROR(
  SUMIFS(
    tblInventory[Qty on Stock],
    tblInventory[SKU], D76,
    tblInventory[Status], "טובים"
  ),
  0
)</f>
        <v>152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152</v>
      </c>
    </row>
    <row r="77" spans="4:7" x14ac:dyDescent="0.35">
      <c r="D77" t="str">
        <v>370-01-07190240</v>
      </c>
      <c r="E77">
        <f>IFERROR(
  SUMIFS(
    tblInventory[Qty on Stock],
    tblInventory[SKU], D77,
    tblInventory[Status], "טובים"
  ),
  0
)</f>
        <v>417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417</v>
      </c>
    </row>
    <row r="78" spans="4:7" x14ac:dyDescent="0.35">
      <c r="D78" t="str">
        <v>526-10-07190GAT</v>
      </c>
      <c r="E78">
        <f>IFERROR(
  SUMIFS(
    tblInventory[Qty on Stock],
    tblInventory[SKU], D78,
    tblInventory[Status], "טובים"
  ),
  0
)</f>
        <v>257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257</v>
      </c>
    </row>
    <row r="79" spans="4:7" x14ac:dyDescent="0.35">
      <c r="D79" t="str">
        <v>526-10-07190GBT</v>
      </c>
      <c r="E79">
        <f>IFERROR(
  SUMIFS(
    tblInventory[Qty on Stock],
    tblInventory[SKU], D79,
    tblInventory[Status], "טובים"
  ),
  0
)</f>
        <v>324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324</v>
      </c>
    </row>
    <row r="80" spans="4:7" x14ac:dyDescent="0.35">
      <c r="D80" t="str">
        <v>557-0825-070190-A</v>
      </c>
      <c r="E80">
        <f>IFERROR(
  SUMIFS(
    tblInventory[Qty on Stock],
    tblInventory[SKU], D80,
    tblInventory[Status], "טובים"
  ),
  0
)</f>
        <v>772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772</v>
      </c>
    </row>
    <row r="81" spans="4:7" x14ac:dyDescent="0.35">
      <c r="D81" t="str">
        <v>557-0825-070190-B</v>
      </c>
      <c r="E81">
        <f>IFERROR(
  SUMIFS(
    tblInventory[Qty on Stock],
    tblInventory[SKU], D81,
    tblInventory[Status], "טובים"
  ),
  0
)</f>
        <v>507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507</v>
      </c>
    </row>
    <row r="82" spans="4:7" x14ac:dyDescent="0.35">
      <c r="D82" t="str">
        <v>796-01-005/8-316</v>
      </c>
      <c r="E82">
        <f>IFERROR(
  SUMIFS(
    tblInventory[Qty on Stock],
    tblInventory[SKU], D82,
    tblInventory[Status], "טובים"
  ),
  0
)</f>
        <v>5190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5190</v>
      </c>
    </row>
    <row r="83" spans="4:7" x14ac:dyDescent="0.35">
      <c r="D83" t="str">
        <v>797-01-0016-316</v>
      </c>
      <c r="E83">
        <f>IFERROR(
  SUMIFS(
    tblInventory[Qty on Stock],
    tblInventory[SKU], D83,
    tblInventory[Status], "טובים"
  ),
  0
)</f>
        <v>4806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4806</v>
      </c>
    </row>
    <row r="84" spans="4:7" x14ac:dyDescent="0.35">
      <c r="D84" t="str">
        <v>828-02-07190</v>
      </c>
      <c r="E84">
        <f>IFERROR(
  SUMIFS(
    tblInventory[Qty on Stock],
    tblInventory[SKU], D84,
    tblInventory[Status], "טובים"
  ),
  0
)</f>
        <v>515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515</v>
      </c>
    </row>
    <row r="85" spans="4:7" x14ac:dyDescent="0.35">
      <c r="D85" t="str">
        <v>860-61-M014-50</v>
      </c>
      <c r="E85">
        <f>IFERROR(
  SUMIFS(
    tblInventory[Qty on Stock],
    tblInventory[SKU], D85,
    tblInventory[Status], "טובים"
  ),
  0
)</f>
        <v>6263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6263</v>
      </c>
    </row>
    <row r="86" spans="4:7" x14ac:dyDescent="0.35">
      <c r="D86" t="str">
        <v>860-61-M016-225</v>
      </c>
      <c r="E86">
        <f>IFERROR(
  SUMIFS(
    tblInventory[Qty on Stock],
    tblInventory[SKU], D86,
    tblInventory[Status], "טובים"
  ),
  0
)</f>
        <v>7035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7035</v>
      </c>
    </row>
    <row r="87" spans="4:7" x14ac:dyDescent="0.35">
      <c r="D87" t="str">
        <v>950-60-M14H14</v>
      </c>
      <c r="E87">
        <f>IFERROR(
  SUMIFS(
    tblInventory[Qty on Stock],
    tblInventory[SKU], D87,
    tblInventory[Status], "טובים"
  ),
  0
)</f>
        <v>6184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6184</v>
      </c>
    </row>
    <row r="88" spans="4:7" x14ac:dyDescent="0.35">
      <c r="D88" t="str">
        <v>980-60-M014</v>
      </c>
      <c r="E88">
        <f>IFERROR(
  SUMIFS(
    tblInventory[Qty on Stock],
    tblInventory[SKU], D88,
    tblInventory[Status], "טובים"
  ),
  0
)</f>
        <v>16984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16984</v>
      </c>
    </row>
    <row r="89" spans="4:7" x14ac:dyDescent="0.35">
      <c r="D89" t="str">
        <v>999-02-0014</v>
      </c>
      <c r="E89">
        <f>IFERROR(
  SUMIFS(
    tblInventory[Qty on Stock],
    tblInventory[SKU], D89,
    tblInventory[Status], "טובים"
  ),
  0
)</f>
        <v>7290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7290</v>
      </c>
    </row>
    <row r="90" spans="4:7" x14ac:dyDescent="0.35">
      <c r="D90" t="str">
        <v>260-05-08214</v>
      </c>
      <c r="E90">
        <f>IFERROR(
  SUMIFS(
    tblInventory[Qty on Stock],
    tblInventory[SKU], D90,
    tblInventory[Status], "טובים"
  ),
  0
)</f>
        <v>325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325</v>
      </c>
    </row>
    <row r="91" spans="4:7" x14ac:dyDescent="0.35">
      <c r="D91" t="str">
        <v>370-01-08214264</v>
      </c>
      <c r="E91">
        <f>IFERROR(
  SUMIFS(
    tblInventory[Qty on Stock],
    tblInventory[SKU], D91,
    tblInventory[Status], "טובים"
  ),
  0
)</f>
        <v>1033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1033</v>
      </c>
    </row>
    <row r="92" spans="4:7" x14ac:dyDescent="0.35">
      <c r="D92" t="str">
        <v>526-10-08214GAT</v>
      </c>
      <c r="E92">
        <f>IFERROR(
  SUMIFS(
    tblInventory[Qty on Stock],
    tblInventory[SKU], D92,
    tblInventory[Status], "טובים"
  ),
  0
)</f>
        <v>1832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1832</v>
      </c>
    </row>
    <row r="93" spans="4:7" x14ac:dyDescent="0.35">
      <c r="D93" t="str">
        <v>526-10-08214GBT</v>
      </c>
      <c r="E93">
        <f>IFERROR(
  SUMIFS(
    tblInventory[Qty on Stock],
    tblInventory[SKU], D93,
    tblInventory[Status], "טובים"
  ),
  0
)</f>
        <v>1814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1814</v>
      </c>
    </row>
    <row r="94" spans="4:7" x14ac:dyDescent="0.35">
      <c r="D94" t="str">
        <v>557-0825-080214-A</v>
      </c>
      <c r="E94">
        <f>IFERROR(
  SUMIFS(
    tblInventory[Qty on Stock],
    tblInventory[SKU], D94,
    tblInventory[Status], "טובים"
  ),
  0
)</f>
        <v>868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868</v>
      </c>
    </row>
    <row r="95" spans="4:7" x14ac:dyDescent="0.35">
      <c r="D95" t="str">
        <v>557-0825-080214-B</v>
      </c>
      <c r="E95">
        <f>IFERROR(
  SUMIFS(
    tblInventory[Qty on Stock],
    tblInventory[SKU], D95,
    tblInventory[Status], "טובים"
  ),
  0
)</f>
        <v>768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768</v>
      </c>
    </row>
    <row r="96" spans="4:7" x14ac:dyDescent="0.35">
      <c r="D96" t="str">
        <v>828-02-08214</v>
      </c>
      <c r="E96">
        <f>IFERROR(
  SUMIFS(
    tblInventory[Qty on Stock],
    tblInventory[SKU], D96,
    tblInventory[Status], "טובים"
  ),
  0
)</f>
        <v>1619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1619</v>
      </c>
    </row>
    <row r="97" spans="4:7" x14ac:dyDescent="0.35">
      <c r="D97" t="str">
        <v>260-05-10266</v>
      </c>
      <c r="E97">
        <f>IFERROR(
  SUMIFS(
    tblInventory[Qty on Stock],
    tblInventory[SKU], D97,
    tblInventory[Status], "טובים"
  ),
  0
)</f>
        <v>455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455</v>
      </c>
    </row>
    <row r="98" spans="4:7" x14ac:dyDescent="0.35">
      <c r="D98" t="str">
        <v>370-01-10266316</v>
      </c>
      <c r="E98">
        <f>IFERROR(
  SUMIFS(
    tblInventory[Qty on Stock],
    tblInventory[SKU], D98,
    tblInventory[Status], "טובים"
  ),
  0
)</f>
        <v>462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462</v>
      </c>
    </row>
    <row r="99" spans="4:7" x14ac:dyDescent="0.35">
      <c r="D99" t="str">
        <v>526-10-10266GAT</v>
      </c>
      <c r="E99">
        <f>IFERROR(
  SUMIFS(
    tblInventory[Qty on Stock],
    tblInventory[SKU], D99,
    tblInventory[Status], "טובים"
  ),
  0
)</f>
        <v>770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770</v>
      </c>
    </row>
    <row r="100" spans="4:7" x14ac:dyDescent="0.35">
      <c r="D100" t="str">
        <v>526-10-10266GBT</v>
      </c>
      <c r="E100">
        <f>IFERROR(
  SUMIFS(
    tblInventory[Qty on Stock],
    tblInventory[SKU], D100,
    tblInventory[Status], "טובים"
  ),
  0
)</f>
        <v>797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797</v>
      </c>
    </row>
    <row r="101" spans="4:7" x14ac:dyDescent="0.35">
      <c r="D101" t="str">
        <v>557-0825-100266-A</v>
      </c>
      <c r="E101">
        <f>IFERROR(
  SUMIFS(
    tblInventory[Qty on Stock],
    tblInventory[SKU], D101,
    tblInventory[Status], "טובים"
  ),
  0
)</f>
        <v>485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485</v>
      </c>
    </row>
    <row r="102" spans="4:7" x14ac:dyDescent="0.35">
      <c r="D102" t="str">
        <v>557-0825-100266-B</v>
      </c>
      <c r="E102">
        <f>IFERROR(
  SUMIFS(
    tblInventory[Qty on Stock],
    tblInventory[SKU], D102,
    tblInventory[Status], "טובים"
  ),
  0
)</f>
        <v>383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383</v>
      </c>
    </row>
    <row r="103" spans="4:7" x14ac:dyDescent="0.35">
      <c r="D103" t="str">
        <v>828-02-10266</v>
      </c>
      <c r="E103">
        <f>IFERROR(
  SUMIFS(
    tblInventory[Qty on Stock],
    tblInventory[SKU], D103,
    tblInventory[Status], "טובים"
  ),
  0
)</f>
        <v>647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647</v>
      </c>
    </row>
    <row r="104" spans="4:7" x14ac:dyDescent="0.35">
      <c r="D104" t="str">
        <v>260-05-12312</v>
      </c>
      <c r="E104">
        <f>IFERROR(
  SUMIFS(
    tblInventory[Qty on Stock],
    tblInventory[SKU], D104,
    tblInventory[Status], "טובים"
  ),
  0
)</f>
        <v>438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438</v>
      </c>
    </row>
    <row r="105" spans="4:7" x14ac:dyDescent="0.35">
      <c r="D105" t="str">
        <v>370-01-12312362</v>
      </c>
      <c r="E105">
        <f>IFERROR(
  SUMIFS(
    tblInventory[Qty on Stock],
    tblInventory[SKU], D105,
    tblInventory[Status], "טובים"
  ),
  0
)</f>
        <v>505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505</v>
      </c>
    </row>
    <row r="106" spans="4:7" x14ac:dyDescent="0.35">
      <c r="D106" t="str">
        <v>526-10-12312RGAT</v>
      </c>
      <c r="E106">
        <f>IFERROR(
  SUMIFS(
    tblInventory[Qty on Stock],
    tblInventory[SKU], D106,
    tblInventory[Status], "טובים"
  ),
  0
)</f>
        <v>748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748</v>
      </c>
    </row>
    <row r="107" spans="4:7" x14ac:dyDescent="0.35">
      <c r="D107" t="str">
        <v>526-10-12312RGBT</v>
      </c>
      <c r="E107">
        <f>IFERROR(
  SUMIFS(
    tblInventory[Qty on Stock],
    tblInventory[SKU], D107,
    tblInventory[Status], "טובים"
  ),
  0
)</f>
        <v>827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827</v>
      </c>
    </row>
    <row r="108" spans="4:7" x14ac:dyDescent="0.35">
      <c r="D108" t="str">
        <v>557-0825-120312-A</v>
      </c>
      <c r="E108">
        <f>IFERROR(
  SUMIFS(
    tblInventory[Qty on Stock],
    tblInventory[SKU], D108,
    tblInventory[Status], "טובים"
  ),
  0
)</f>
        <v>456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456</v>
      </c>
    </row>
    <row r="109" spans="4:7" x14ac:dyDescent="0.35">
      <c r="D109" t="str">
        <v>557-0825-120312-B</v>
      </c>
      <c r="E109">
        <f>IFERROR(
  SUMIFS(
    tblInventory[Qty on Stock],
    tblInventory[SKU], D109,
    tblInventory[Status], "טובים"
  ),
  0
)</f>
        <v>382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382</v>
      </c>
    </row>
    <row r="110" spans="4:7" x14ac:dyDescent="0.35">
      <c r="D110" t="str">
        <v>828-02-12312</v>
      </c>
      <c r="E110">
        <f>IFERROR(
  SUMIFS(
    tblInventory[Qty on Stock],
    tblInventory[SKU], D110,
    tblInventory[Status], "טובים"
  ),
  0
)</f>
        <v>641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641</v>
      </c>
    </row>
    <row r="111" spans="4:7" x14ac:dyDescent="0.35">
      <c r="D111" t="str">
        <v>860-61-M016-50</v>
      </c>
      <c r="E111">
        <f>IFERROR(
  SUMIFS(
    tblInventory[Qty on Stock],
    tblInventory[SKU], D111,
    tblInventory[Status], "טובים"
  ),
  0
)</f>
        <v>2436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2436</v>
      </c>
    </row>
    <row r="112" spans="4:7" x14ac:dyDescent="0.35">
      <c r="D112" t="str">
        <v>950-60-M16H16</v>
      </c>
      <c r="E112">
        <f>IFERROR(
  SUMIFS(
    tblInventory[Qty on Stock],
    tblInventory[SKU], D112,
    tblInventory[Status], "טובים"
  ),
  0
)</f>
        <v>1616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1616</v>
      </c>
    </row>
    <row r="113" spans="4:7" x14ac:dyDescent="0.35">
      <c r="D113" t="str">
        <v>980-60-M016</v>
      </c>
      <c r="E113">
        <f>IFERROR(
  SUMIFS(
    tblInventory[Qty on Stock],
    tblInventory[SKU], D113,
    tblInventory[Status], "טובים"
  ),
  0
)</f>
        <v>16776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16776</v>
      </c>
    </row>
    <row r="114" spans="4:7" x14ac:dyDescent="0.35">
      <c r="D114" t="str">
        <v>999-02-0016</v>
      </c>
      <c r="E114">
        <f>IFERROR(
  SUMIFS(
    tblInventory[Qty on Stock],
    tblInventory[SKU], D114,
    tblInventory[Status], "טובים"
  ),
  0
)</f>
        <v>3931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3931</v>
      </c>
    </row>
    <row r="115" spans="4:7" x14ac:dyDescent="0.35">
      <c r="D115" t="str">
        <v>340-07-015039-20</v>
      </c>
      <c r="E115">
        <f>IFERROR(
  SUMIFS(
    tblInventory[Qty on Stock],
    tblInventory[SKU], D115,
    tblInventory[Status],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
    tblInventory[Qty on Stock],
    tblInventory[SKU], D116,
    tblInventory[Status], "טובים"
  ),
  0
)</f>
        <v>66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66</v>
      </c>
    </row>
    <row r="117" spans="4:7" x14ac:dyDescent="0.35">
      <c r="D117" t="str">
        <v>340-05-030080</v>
      </c>
      <c r="E117">
        <f>IFERROR(
  SUMIFS(
    tblInventory[Qty on Stock],
    tblInventory[SKU], D117,
    tblInventory[Status], "טובים"
  ),
  0
)</f>
        <v>311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311</v>
      </c>
    </row>
    <row r="118" spans="4:7" x14ac:dyDescent="0.35">
      <c r="D118" t="str">
        <v>340-05-040104</v>
      </c>
      <c r="E118">
        <f>IFERROR(
  SUMIFS(
    tblInventory[Qty on Stock],
    tblInventory[SKU], D118,
    tblInventory[Status], "טובים"
  ),
  0
)</f>
        <v>313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313</v>
      </c>
    </row>
    <row r="119" spans="4:7" x14ac:dyDescent="0.35">
      <c r="D119" t="str">
        <v>980-61-M012</v>
      </c>
      <c r="E119">
        <f>IFERROR(
  SUMIFS(
    tblInventory[Qty on Stock],
    tblInventory[SKU], D119,
    tblInventory[Status], "טובים"
  ),
  0
)</f>
        <v>2440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2440</v>
      </c>
    </row>
    <row r="120" spans="4:7" x14ac:dyDescent="0.35">
      <c r="D120" t="str">
        <v>340-05-05130</v>
      </c>
      <c r="E120">
        <f>IFERROR(
  SUMIFS(
    tblInventory[Qty on Stock],
    tblInventory[SKU], D120,
    tblInventory[Status], "טובים"
  ),
  0
)</f>
        <v>48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48</v>
      </c>
    </row>
    <row r="121" spans="4:7" x14ac:dyDescent="0.35">
      <c r="D121" t="str">
        <v>340-05-05130-16</v>
      </c>
      <c r="E121">
        <f>IFERROR(
  SUMIFS(
    tblInventory[Qty on Stock],
    tblInventory[SKU], D121,
    tblInventory[Status], "טובים"
  ),
  0
)</f>
        <v>93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93</v>
      </c>
    </row>
    <row r="122" spans="4:7" x14ac:dyDescent="0.35">
      <c r="D122" t="str">
        <v>340-05-06158</v>
      </c>
      <c r="E122">
        <f>IFERROR(
  SUMIFS(
    tblInventory[Qty on Stock],
    tblInventory[SKU], D122,
    tblInventory[Status], "טובים"
  ),
  0
)</f>
        <v>335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335</v>
      </c>
    </row>
    <row r="123" spans="4:7" x14ac:dyDescent="0.35">
      <c r="D123" t="str">
        <v>340-05-08198</v>
      </c>
      <c r="E123">
        <f>IFERROR(
  SUMIFS(
    tblInventory[Qty on Stock],
    tblInventory[SKU], D123,
    tblInventory[Status], "טובים"
  ),
  0
)</f>
        <v>221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221</v>
      </c>
    </row>
    <row r="124" spans="4:7" x14ac:dyDescent="0.35">
      <c r="D124" t="str">
        <v>340-05-08190</v>
      </c>
      <c r="E124">
        <f>IFERROR(
  SUMIFS(
    tblInventory[Qty on Stock],
    tblInventory[SKU], D124,
    tblInventory[Status], "טובים"
  ),
  0
)</f>
        <v>15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15</v>
      </c>
    </row>
    <row r="125" spans="4:7" x14ac:dyDescent="0.35">
      <c r="D125" t="str">
        <v>340-05-08214</v>
      </c>
      <c r="E125">
        <f>IFERROR(
  SUMIFS(
    tblInventory[Qty on Stock],
    tblInventory[SKU], D125,
    tblInventory[Status], "טובים"
  ),
  0
)</f>
        <v>171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171</v>
      </c>
    </row>
    <row r="126" spans="4:7" x14ac:dyDescent="0.35">
      <c r="D126" t="str">
        <v>340-05-10266</v>
      </c>
      <c r="E126">
        <f>IFERROR(
  SUMIFS(
    tblInventory[Qty on Stock],
    tblInventory[SKU], D126,
    tblInventory[Status], "טובים"
  ),
  0
)</f>
        <v>26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26</v>
      </c>
    </row>
    <row r="127" spans="4:7" x14ac:dyDescent="0.35">
      <c r="D127" t="str">
        <v>340-05-12312</v>
      </c>
      <c r="E127">
        <f>IFERROR(
  SUMIFS(
    tblInventory[Qty on Stock],
    tblInventory[SKU], D127,
    tblInventory[Status], "טובים"
  ),
  0
)</f>
        <v>28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28</v>
      </c>
    </row>
    <row r="128" spans="4:7" x14ac:dyDescent="0.35">
      <c r="D128" t="str">
        <v>350-05-015039G2</v>
      </c>
      <c r="E128">
        <f>IFERROR(
  SUMIFS(
    tblInventory[Qty on Stock],
    tblInventory[SKU], D128,
    tblInventory[Status], "טובים"
  ),
  0
)</f>
        <v>87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87</v>
      </c>
    </row>
    <row r="129" spans="4:7" x14ac:dyDescent="0.35">
      <c r="D129" t="str">
        <v>350-05-025059G2</v>
      </c>
      <c r="E129">
        <f>IFERROR(
  SUMIFS(
    tblInventory[Qty on Stock],
    tblInventory[SKU], D129,
    tblInventory[Status], "טובים"
  ),
  0
)</f>
        <v>65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65</v>
      </c>
    </row>
    <row r="130" spans="4:7" x14ac:dyDescent="0.35">
      <c r="D130" t="str">
        <v>350-05-03080G2</v>
      </c>
      <c r="E130">
        <f>IFERROR(
  SUMIFS(
    tblInventory[Qty on Stock],
    tblInventory[SKU], D130,
    tblInventory[Status], "טובים"
  ),
  0
)</f>
        <v>130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130</v>
      </c>
    </row>
    <row r="131" spans="4:7" x14ac:dyDescent="0.35">
      <c r="D131" t="str">
        <v>350-05-04104G2</v>
      </c>
      <c r="E131">
        <f>IFERROR(
  SUMIFS(
    tblInventory[Qty on Stock],
    tblInventory[SKU], D131,
    tblInventory[Status], "טובים"
  ),
  0
)</f>
        <v>458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458</v>
      </c>
    </row>
    <row r="132" spans="4:7" x14ac:dyDescent="0.35">
      <c r="D132" t="str">
        <v>350-05-05130G2</v>
      </c>
      <c r="E132">
        <f>IFERROR(
  SUMIFS(
    tblInventory[Qty on Stock],
    tblInventory[SKU], D132,
    tblInventory[Status], "טובים"
  ),
  0
)</f>
        <v>209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209</v>
      </c>
    </row>
    <row r="133" spans="4:7" x14ac:dyDescent="0.35">
      <c r="D133" t="str">
        <v>350-05-06158G2</v>
      </c>
      <c r="E133">
        <f>IFERROR(
  SUMIFS(
    tblInventory[Qty on Stock],
    tblInventory[SKU], D133,
    tblInventory[Status], "טובים"
  ),
  0
)</f>
        <v>43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43</v>
      </c>
    </row>
    <row r="134" spans="4:7" x14ac:dyDescent="0.35">
      <c r="D134" t="str">
        <v>350-05-07190G2</v>
      </c>
      <c r="E134">
        <f>IFERROR(
  SUMIFS(
    tblInventory[Qty on Stock],
    tblInventory[SKU], D134,
    tblInventory[Status], "טובים"
  ),
  0
)</f>
        <v>18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18</v>
      </c>
    </row>
    <row r="135" spans="4:7" x14ac:dyDescent="0.35">
      <c r="D135" t="str">
        <v>350-05-07198G2</v>
      </c>
      <c r="E135">
        <f>IFERROR(
  SUMIFS(
    tblInventory[Qty on Stock],
    tblInventory[SKU], D135,
    tblInventory[Status], "טובים"
  ),
  0
)</f>
        <v>38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38</v>
      </c>
    </row>
    <row r="136" spans="4:7" x14ac:dyDescent="0.35">
      <c r="D136" t="str">
        <v>350-05-08214G2</v>
      </c>
      <c r="E136">
        <f>IFERROR(
  SUMIFS(
    tblInventory[Qty on Stock],
    tblInventory[SKU], D136,
    tblInventory[Status], "טובים"
  ),
  0
)</f>
        <v>57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57</v>
      </c>
    </row>
    <row r="137" spans="4:7" x14ac:dyDescent="0.35">
      <c r="D137" t="str">
        <v>350-05-10266G2</v>
      </c>
      <c r="E137">
        <f>IFERROR(
  SUMIFS(
    tblInventory[Qty on Stock],
    tblInventory[SKU], D137,
    tblInventory[Status], "טובים"
  ),
  0
)</f>
        <v>18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18</v>
      </c>
    </row>
    <row r="138" spans="4:7" x14ac:dyDescent="0.35">
      <c r="D138" t="str">
        <v>350-05-12312G2</v>
      </c>
      <c r="E138">
        <f>IFERROR(
  SUMIFS(
    tblInventory[Qty on Stock],
    tblInventory[SKU], D138,
    tblInventory[Status], "טובים"
  ),
  0
)</f>
        <v>15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15</v>
      </c>
    </row>
    <row r="139" spans="4:7" x14ac:dyDescent="0.35">
      <c r="D139" t="str">
        <v>280-00-025059-15039</v>
      </c>
      <c r="E139">
        <f>IFERROR(
  SUMIFS(
    tblInventory[Qty on Stock],
    tblInventory[SKU], D139,
    tblInventory[Status], "טובים"
  ),
  0
)</f>
        <v>32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32</v>
      </c>
    </row>
    <row r="140" spans="4:7" x14ac:dyDescent="0.35">
      <c r="D140" t="str">
        <v>280-00-03080-025059</v>
      </c>
      <c r="E140">
        <f>IFERROR(
  SUMIFS(
    tblInventory[Qty on Stock],
    tblInventory[SKU], D140,
    tblInventory[Status], "טובים"
  ),
  0
)</f>
        <v>35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35</v>
      </c>
    </row>
    <row r="141" spans="4:7" x14ac:dyDescent="0.35">
      <c r="D141" t="str">
        <v>280-00-04104-03080</v>
      </c>
      <c r="E141">
        <f>IFERROR(
  SUMIFS(
    tblInventory[Qty on Stock],
    tblInventory[SKU], D141,
    tblInventory[Status], "טובים"
  ),
  0
)</f>
        <v>157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157</v>
      </c>
    </row>
    <row r="142" spans="4:7" x14ac:dyDescent="0.35">
      <c r="D142" t="str">
        <v>355-05-04111</v>
      </c>
      <c r="E142">
        <f>IFERROR(
  SUMIFS(
    tblInventory[Qty on Stock],
    tblInventory[SKU], D142,
    tblInventory[Status], "טובים"
  ),
  0
)</f>
        <v>21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21</v>
      </c>
    </row>
    <row r="143" spans="4:7" x14ac:dyDescent="0.35">
      <c r="D143" t="str">
        <v>370-00-04111</v>
      </c>
      <c r="E143">
        <f>IFERROR(
  SUMIFS(
    tblInventory[Qty on Stock],
    tblInventory[SKU], D143,
    tblInventory[Status], "טובים"
  ),
  0
)</f>
        <v>200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200</v>
      </c>
    </row>
    <row r="144" spans="4:7" x14ac:dyDescent="0.35">
      <c r="D144" t="str">
        <v>371-00-04111</v>
      </c>
      <c r="E144">
        <f>IFERROR(
  SUMIFS(
    tblInventory[Qty on Stock],
    tblInventory[SKU], D144,
    tblInventory[Status], "טובים"
  ),
  0
)</f>
        <v>30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30</v>
      </c>
    </row>
    <row r="145" spans="4:7" x14ac:dyDescent="0.35">
      <c r="D145" t="str">
        <v>526-10-04111-RGAT</v>
      </c>
      <c r="E145">
        <f>IFERROR(
  SUMIFS(
    tblInventory[Qty on Stock],
    tblInventory[SKU], D145,
    tblInventory[Status], "טובים"
  ),
  0
)</f>
        <v>22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22</v>
      </c>
    </row>
    <row r="146" spans="4:7" x14ac:dyDescent="0.35">
      <c r="D146" t="str">
        <v>526-10-04111-RGBT</v>
      </c>
      <c r="E146">
        <f>IFERROR(
  SUMIFS(
    tblInventory[Qty on Stock],
    tblInventory[SKU], D146,
    tblInventory[Status], "טובים"
  ),
  0
)</f>
        <v>23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23</v>
      </c>
    </row>
    <row r="147" spans="4:7" x14ac:dyDescent="0.35">
      <c r="D147" t="str">
        <v>527-10-04111</v>
      </c>
      <c r="E147">
        <f>IFERROR(
  SUMIFS(
    tblInventory[Qty on Stock],
    tblInventory[SKU], D147,
    tblInventory[Status], "טובים"
  ),
  0
)</f>
        <v>23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23</v>
      </c>
    </row>
    <row r="148" spans="4:7" x14ac:dyDescent="0.35">
      <c r="D148" t="str">
        <v>553-0825-04111</v>
      </c>
      <c r="E148">
        <f>IFERROR(
  SUMIFS(
    tblInventory[Qty on Stock],
    tblInventory[SKU], D148,
    tblInventory[Status], "טובים"
  ),
  0
)</f>
        <v>20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20</v>
      </c>
    </row>
    <row r="149" spans="4:7" x14ac:dyDescent="0.35">
      <c r="D149" t="str">
        <v>558-0812-04111</v>
      </c>
      <c r="E149">
        <f>IFERROR(
  SUMIFS(
    tblInventory[Qty on Stock],
    tblInventory[SKU], D149,
    tblInventory[Status], "טובים"
  ),
  0
)</f>
        <v>22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22</v>
      </c>
    </row>
    <row r="150" spans="4:7" x14ac:dyDescent="0.35">
      <c r="D150" t="str">
        <v>796-45-005/8</v>
      </c>
      <c r="E150">
        <f>IFERROR(
  SUMIFS(
    tblInventory[Qty on Stock],
    tblInventory[SKU], D150,
    tblInventory[Status], "טובים"
  ),
  0
)</f>
        <v>380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380</v>
      </c>
    </row>
    <row r="151" spans="4:7" x14ac:dyDescent="0.35">
      <c r="D151" t="str">
        <v>797-45-005/8</v>
      </c>
      <c r="E151">
        <f>IFERROR(
  SUMIFS(
    tblInventory[Qty on Stock],
    tblInventory[SKU], D151,
    tblInventory[Status], "טובים"
  ),
  0
)</f>
        <v>320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320</v>
      </c>
    </row>
    <row r="152" spans="4:7" x14ac:dyDescent="0.35">
      <c r="D152" t="str">
        <v>828-25-040111</v>
      </c>
      <c r="E152">
        <f>IFERROR(
  SUMIFS(
    tblInventory[Qty on Stock],
    tblInventory[SKU], D152,
    tblInventory[Status], "טובים"
  ),
  0
)</f>
        <v>20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20</v>
      </c>
    </row>
    <row r="153" spans="4:7" x14ac:dyDescent="0.35">
      <c r="D153" t="str">
        <v>860-51-58-115</v>
      </c>
      <c r="E153">
        <f>IFERROR(
  SUMIFS(
    tblInventory[Qty on Stock],
    tblInventory[SKU], D153,
    tblInventory[Status], "טובים"
  ),
  0
)</f>
        <v>85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85</v>
      </c>
    </row>
    <row r="154" spans="4:7" x14ac:dyDescent="0.35">
      <c r="D154" t="str">
        <v>860-51-58-190</v>
      </c>
      <c r="E154">
        <f>IFERROR(
  SUMIFS(
    tblInventory[Qty on Stock],
    tblInventory[SKU], D154,
    tblInventory[Status], "טובים"
  ),
  0
)</f>
        <v>142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142</v>
      </c>
    </row>
    <row r="155" spans="4:7" x14ac:dyDescent="0.35">
      <c r="D155" t="str">
        <v>940-63-HHN5/8UNC</v>
      </c>
      <c r="E155">
        <f>IFERROR(
  SUMIFS(
    tblInventory[Qty on Stock],
    tblInventory[SKU], D155,
    tblInventory[Status], "טובים"
  ),
  0
)</f>
        <v>130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130</v>
      </c>
    </row>
    <row r="156" spans="4:7" x14ac:dyDescent="0.35">
      <c r="D156" t="str">
        <v>370-01-04111</v>
      </c>
      <c r="E156">
        <f>IFERROR(
  SUMIFS(
    tblInventory[Qty on Stock],
    tblInventory[SKU], D156,
    tblInventory[Status],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
    tblInventory[Qty on Stock],
    tblInventory[SKU], D157,
    tblInventory[Status],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
    tblInventory[Qty on Stock],
    tblInventory[SKU], D158,
    tblInventory[Status], "טובים"
  ),
  0
)</f>
        <v>231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231</v>
      </c>
    </row>
    <row r="159" spans="4:7" x14ac:dyDescent="0.35">
      <c r="D159" t="str">
        <v>370-00-06165</v>
      </c>
      <c r="E159">
        <f>IFERROR(
  SUMIFS(
    tblInventory[Qty on Stock],
    tblInventory[SKU], D159,
    tblInventory[Status], "טובים"
  ),
  0
)</f>
        <v>70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70</v>
      </c>
    </row>
    <row r="160" spans="4:7" x14ac:dyDescent="0.35">
      <c r="D160" t="str">
        <v>371-00-06165</v>
      </c>
      <c r="E160">
        <f>IFERROR(
  SUMIFS(
    tblInventory[Qty on Stock],
    tblInventory[SKU], D160,
    tblInventory[Status], "טובים"
  ),
  0
)</f>
        <v>32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32</v>
      </c>
    </row>
    <row r="161" spans="4:7" x14ac:dyDescent="0.35">
      <c r="D161" t="str">
        <v>526-10-06165-RGAT</v>
      </c>
      <c r="E161">
        <f>IFERROR(
  SUMIFS(
    tblInventory[Qty on Stock],
    tblInventory[SKU], D161,
    tblInventory[Status], "טובים"
  ),
  0
)</f>
        <v>63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63</v>
      </c>
    </row>
    <row r="162" spans="4:7" x14ac:dyDescent="0.35">
      <c r="D162" t="str">
        <v>526-10-06165-RGBT</v>
      </c>
      <c r="E162">
        <f>IFERROR(
  SUMIFS(
    tblInventory[Qty on Stock],
    tblInventory[SKU], D162,
    tblInventory[Status], "טובים"
  ),
  0
)</f>
        <v>63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63</v>
      </c>
    </row>
    <row r="163" spans="4:7" x14ac:dyDescent="0.35">
      <c r="D163" t="str">
        <v>527-10-06165</v>
      </c>
      <c r="E163">
        <f>IFERROR(
  SUMIFS(
    tblInventory[Qty on Stock],
    tblInventory[SKU], D163,
    tblInventory[Status], "טובים"
  ),
  0
)</f>
        <v>63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63</v>
      </c>
    </row>
    <row r="164" spans="4:7" x14ac:dyDescent="0.35">
      <c r="D164" t="str">
        <v>553-0825-06165</v>
      </c>
      <c r="E164">
        <f>IFERROR(
  SUMIFS(
    tblInventory[Qty on Stock],
    tblInventory[SKU], D164,
    tblInventory[Status], "טובים"
  ),
  0
)</f>
        <v>63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63</v>
      </c>
    </row>
    <row r="165" spans="4:7" x14ac:dyDescent="0.35">
      <c r="D165" t="str">
        <v>558-0812-06165</v>
      </c>
      <c r="E165">
        <f>IFERROR(
  SUMIFS(
    tblInventory[Qty on Stock],
    tblInventory[SKU], D165,
    tblInventory[Status], "טובים"
  ),
  0
)</f>
        <v>40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40</v>
      </c>
    </row>
    <row r="166" spans="4:7" x14ac:dyDescent="0.35">
      <c r="D166" t="str">
        <v>828-25-060165</v>
      </c>
      <c r="E166">
        <f>IFERROR(
  SUMIFS(
    tblInventory[Qty on Stock],
    tblInventory[SKU], D166,
    tblInventory[Status], "טובים"
  ),
  0
)</f>
        <v>126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126</v>
      </c>
    </row>
    <row r="167" spans="4:7" x14ac:dyDescent="0.35">
      <c r="D167" t="str">
        <v>370-01-06165</v>
      </c>
      <c r="E167">
        <f>IFERROR(
  SUMIFS(
    tblInventory[Qty on Stock],
    tblInventory[SKU], D167,
    tblInventory[Status],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
    tblInventory[Qty on Stock],
    tblInventory[SKU], D168,
    tblInventory[Status],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
    tblInventory[Qty on Stock],
    tblInventory[SKU], D169,
    tblInventory[Status],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
    tblInventory[Qty on Stock],
    tblInventory[SKU], D170,
    tblInventory[Status],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
    tblInventory[Qty on Stock],
    tblInventory[SKU], D171,
    tblInventory[Status],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
    tblInventory[Qty on Stock],
    tblInventory[SKU], D172,
    tblInventory[Status],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
    tblInventory[Qty on Stock],
    tblInventory[SKU], D173,
    tblInventory[Status],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
    tblInventory[Qty on Stock],
    tblInventory[SKU], D174,
    tblInventory[Status],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
    tblInventory[Qty on Stock],
    tblInventory[SKU], D175,
    tblInventory[Status],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
    tblInventory[Qty on Stock],
    tblInventory[SKU], D176,
    tblInventory[Status], "טובים"
  ),
  0
)</f>
        <v>60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60</v>
      </c>
    </row>
    <row r="177" spans="4:7" x14ac:dyDescent="0.35">
      <c r="D177" t="str">
        <v>797-60-003/4</v>
      </c>
      <c r="E177">
        <f>IFERROR(
  SUMIFS(
    tblInventory[Qty on Stock],
    tblInventory[SKU], D177,
    tblInventory[Status], "טובים"
  ),
  0
)</f>
        <v>60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60</v>
      </c>
    </row>
    <row r="178" spans="4:7" x14ac:dyDescent="0.35">
      <c r="D178" t="str">
        <v>828-25-080216</v>
      </c>
      <c r="E178">
        <f>IFERROR(
  SUMIFS(
    tblInventory[Qty on Stock],
    tblInventory[SKU], D178,
    tblInventory[Status],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
    tblInventory[Qty on Stock],
    tblInventory[SKU], D179,
    tblInventory[Status], "טובים"
  ),
  0
)</f>
        <v>51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51</v>
      </c>
    </row>
    <row r="180" spans="4:7" x14ac:dyDescent="0.35">
      <c r="D180" t="str">
        <v>860-51-UNC3_4-150</v>
      </c>
      <c r="E180">
        <f>IFERROR(
  SUMIFS(
    tblInventory[Qty on Stock],
    tblInventory[SKU], D180,
    tblInventory[Status], "טובים"
  ),
  0
)</f>
        <v>20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20</v>
      </c>
    </row>
    <row r="181" spans="4:7" x14ac:dyDescent="0.35">
      <c r="D181" t="str">
        <v>871-60-M420</v>
      </c>
      <c r="E181">
        <f>IFERROR(
  SUMIFS(
    tblInventory[Qty on Stock],
    tblInventory[SKU], D181,
    tblInventory[Status], "טובים"
  ),
  0
)</f>
        <v>720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720</v>
      </c>
    </row>
    <row r="182" spans="4:7" x14ac:dyDescent="0.35">
      <c r="D182" t="str">
        <v>940-63-HHN3/4UNC</v>
      </c>
      <c r="E182">
        <f>IFERROR(
  SUMIFS(
    tblInventory[Qty on Stock],
    tblInventory[SKU], D182,
    tblInventory[Status], "טובים"
  ),
  0
)</f>
        <v>51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51</v>
      </c>
    </row>
    <row r="183" spans="4:7" x14ac:dyDescent="0.35">
      <c r="D183" t="str">
        <v>980-61-M20-UNC3/4</v>
      </c>
      <c r="E183">
        <f>IFERROR(
  SUMIFS(
    tblInventory[Qty on Stock],
    tblInventory[SKU], D183,
    tblInventory[Status], "טובים"
  ),
  0
)</f>
        <v>52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52</v>
      </c>
    </row>
    <row r="184" spans="4:7" x14ac:dyDescent="0.35">
      <c r="D184" t="str">
        <v>355-05-10270</v>
      </c>
      <c r="E184">
        <f>IFERROR(
  SUMIFS(
    tblInventory[Qty on Stock],
    tblInventory[SKU], D184,
    tblInventory[Status],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
    tblInventory[Qty on Stock],
    tblInventory[SKU], D185,
    tblInventory[Status],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
    tblInventory[Qty on Stock],
    tblInventory[SKU], D186,
    tblInventory[Status],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
    tblInventory[Qty on Stock],
    tblInventory[SKU], D187,
    tblInventory[Status],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
    tblInventory[Qty on Stock],
    tblInventory[SKU], D188,
    tblInventory[Status],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
    tblInventory[Qty on Stock],
    tblInventory[SKU], D189,
    tblInventory[Status],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
    tblInventory[Qty on Stock],
    tblInventory[SKU], D190,
    tblInventory[Status],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
    tblInventory[Qty on Stock],
    tblInventory[SKU], D191,
    tblInventory[Status],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
    tblInventory[Qty on Stock],
    tblInventory[SKU], D192,
    tblInventory[Status],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
    tblInventory[Qty on Stock],
    tblInventory[SKU], D193,
    tblInventory[Status], "טובים"
  ),
  0
)</f>
        <v>32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32</v>
      </c>
    </row>
    <row r="194" spans="4:7" x14ac:dyDescent="0.35">
      <c r="D194" t="str">
        <v>370-00-12322</v>
      </c>
      <c r="E194">
        <f>IFERROR(
  SUMIFS(
    tblInventory[Qty on Stock],
    tblInventory[SKU], D194,
    tblInventory[Status], "טובים"
  ),
  0
)</f>
        <v>45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45</v>
      </c>
    </row>
    <row r="195" spans="4:7" x14ac:dyDescent="0.35">
      <c r="D195" t="str">
        <v>371-00-12322</v>
      </c>
      <c r="E195">
        <f>IFERROR(
  SUMIFS(
    tblInventory[Qty on Stock],
    tblInventory[SKU], D195,
    tblInventory[Status], "טובים"
  ),
  0
)</f>
        <v>21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21</v>
      </c>
    </row>
    <row r="196" spans="4:7" x14ac:dyDescent="0.35">
      <c r="D196" t="str">
        <v>526-10-12322-RGAT</v>
      </c>
      <c r="E196">
        <f>IFERROR(
  SUMIFS(
    tblInventory[Qty on Stock],
    tblInventory[SKU], D196,
    tblInventory[Status], "טובים"
  ),
  0
)</f>
        <v>32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32</v>
      </c>
    </row>
    <row r="197" spans="4:7" x14ac:dyDescent="0.35">
      <c r="D197" t="str">
        <v>526-10-12322-RGBT</v>
      </c>
      <c r="E197">
        <f>IFERROR(
  SUMIFS(
    tblInventory[Qty on Stock],
    tblInventory[SKU], D197,
    tblInventory[Status], "טובים"
  ),
  0
)</f>
        <v>32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32</v>
      </c>
    </row>
    <row r="198" spans="4:7" x14ac:dyDescent="0.35">
      <c r="D198" t="str">
        <v>527-10-12322</v>
      </c>
      <c r="E198">
        <f>IFERROR(
  SUMIFS(
    tblInventory[Qty on Stock],
    tblInventory[SKU], D198,
    tblInventory[Status], "טובים"
  ),
  0
)</f>
        <v>32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32</v>
      </c>
    </row>
    <row r="199" spans="4:7" x14ac:dyDescent="0.35">
      <c r="D199" t="str">
        <v>554-0825-12322</v>
      </c>
      <c r="E199">
        <f>IFERROR(
  SUMIFS(
    tblInventory[Qty on Stock],
    tblInventory[SKU], D199,
    tblInventory[Status], "טובים"
  ),
  0
)</f>
        <v>32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32</v>
      </c>
    </row>
    <row r="200" spans="4:7" x14ac:dyDescent="0.35">
      <c r="D200" t="str">
        <v>558-0812-12322</v>
      </c>
      <c r="E200">
        <f>IFERROR(
  SUMIFS(
    tblInventory[Qty on Stock],
    tblInventory[SKU], D200,
    tblInventory[Status], "טובים"
  ),
  0
)</f>
        <v>16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16</v>
      </c>
    </row>
    <row r="201" spans="4:7" x14ac:dyDescent="0.35">
      <c r="D201" t="str">
        <v>828-25-120322</v>
      </c>
      <c r="E201">
        <f>IFERROR(
  SUMIFS(
    tblInventory[Qty on Stock],
    tblInventory[SKU], D201,
    tblInventory[Status], "טובים"
  ),
  0
)</f>
        <v>63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63</v>
      </c>
    </row>
    <row r="202" spans="4:7" x14ac:dyDescent="0.35">
      <c r="D202" t="str">
        <v>280-00-05130-04104</v>
      </c>
      <c r="E202">
        <f>IFERROR(
  SUMIFS(
    tblInventory[Qty on Stock],
    tblInventory[SKU], D202,
    tblInventory[Status], "טובים"
  ),
  0
)</f>
        <v>209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209</v>
      </c>
    </row>
    <row r="203" spans="4:7" x14ac:dyDescent="0.35">
      <c r="D203" t="str">
        <v>280-00-06158-04104</v>
      </c>
      <c r="E203">
        <f>IFERROR(
  SUMIFS(
    tblInventory[Qty on Stock],
    tblInventory[SKU], D203,
    tblInventory[Status], "טובים"
  ),
  0
)</f>
        <v>113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113</v>
      </c>
    </row>
    <row r="204" spans="4:7" x14ac:dyDescent="0.35">
      <c r="D204" t="str">
        <v>280-00-06158-05130</v>
      </c>
      <c r="E204">
        <f>IFERROR(
  SUMIFS(
    tblInventory[Qty on Stock],
    tblInventory[SKU], D204,
    tblInventory[Status], "טובים"
  ),
  0
)</f>
        <v>273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273</v>
      </c>
    </row>
    <row r="205" spans="4:7" x14ac:dyDescent="0.35">
      <c r="D205" t="str">
        <v>280-00-07198-05130</v>
      </c>
      <c r="E205">
        <f>IFERROR(
  SUMIFS(
    tblInventory[Qty on Stock],
    tblInventory[SKU], D205,
    tblInventory[Status], "טובים"
  ),
  0
)</f>
        <v>13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13</v>
      </c>
    </row>
    <row r="206" spans="4:7" x14ac:dyDescent="0.35">
      <c r="D206" t="str">
        <v>280-00-07198-06158</v>
      </c>
      <c r="E206">
        <f>IFERROR(
  SUMIFS(
    tblInventory[Qty on Stock],
    tblInventory[SKU], D206,
    tblInventory[Status], "טובים"
  ),
  0
)</f>
        <v>38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38</v>
      </c>
    </row>
    <row r="207" spans="4:7" x14ac:dyDescent="0.35">
      <c r="D207" t="str">
        <v>280-00-08214-06158</v>
      </c>
      <c r="E207">
        <f>IFERROR(
  SUMIFS(
    tblInventory[Qty on Stock],
    tblInventory[SKU], D207,
    tblInventory[Status], "טובים"
  ),
  0
)</f>
        <v>9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9</v>
      </c>
    </row>
    <row r="208" spans="4:7" x14ac:dyDescent="0.35">
      <c r="D208" t="str">
        <v>280-00-08214-07190</v>
      </c>
      <c r="E208">
        <f>IFERROR(
  SUMIFS(
    tblInventory[Qty on Stock],
    tblInventory[SKU], D208,
    tblInventory[Status], "טובים"
  ),
  0
)</f>
        <v>55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55</v>
      </c>
    </row>
    <row r="209" spans="4:7" x14ac:dyDescent="0.35">
      <c r="D209" t="str">
        <v>280-00-10266-08214</v>
      </c>
      <c r="E209">
        <f>IFERROR(
  SUMIFS(
    tblInventory[Qty on Stock],
    tblInventory[SKU], D209,
    tblInventory[Status], "טובים"
  ),
  0
)</f>
        <v>80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80</v>
      </c>
    </row>
    <row r="210" spans="4:7" x14ac:dyDescent="0.35">
      <c r="D210" t="str">
        <v>280-00-12312-10266</v>
      </c>
      <c r="E210">
        <f>IFERROR(
  SUMIFS(
    tblInventory[Qty on Stock],
    tblInventory[SKU], D210,
    tblInventory[Status], "טובים"
  ),
  0
)</f>
        <v>71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71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Dec 8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2025-12-09T12:36:34Z</dcterms:modified>
</cp:coreProperties>
</file>